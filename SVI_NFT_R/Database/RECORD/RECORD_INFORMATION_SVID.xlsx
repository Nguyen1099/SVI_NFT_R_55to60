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1.Project\2025\E2508A-113~115 SDV 박닌 V3 NFT SVI-M 대응(2Cell)\2025_163_SDV.V3.NFT-SVI-R_type3_mod\src\SVI_NFT_R\SVI_NFT_R\Database\RECORD\"/>
    </mc:Choice>
  </mc:AlternateContent>
  <bookViews>
    <workbookView xWindow="-120" yWindow="-120" windowWidth="29040" windowHeight="15840" tabRatio="500" activeTab="2"/>
  </bookViews>
  <sheets>
    <sheet name="Sheet1" sheetId="1" r:id="rId1"/>
    <sheet name="Def" sheetId="2" r:id="rId2"/>
    <sheet name="OSS SVID Sheet" sheetId="3" r:id="rId3"/>
    <sheet name="Hellopeople SVID Sheet" sheetId="4" r:id="rId4"/>
  </sheets>
  <calcPr calcId="162913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3" i="3" l="1"/>
  <c r="B3" i="3"/>
  <c r="C3" i="3"/>
  <c r="E3" i="3"/>
  <c r="F3" i="3"/>
  <c r="G3" i="3"/>
  <c r="H3" i="3"/>
  <c r="I3" i="3"/>
  <c r="J3" i="3"/>
  <c r="K3" i="3"/>
  <c r="L3" i="3"/>
  <c r="N3" i="3"/>
  <c r="O3" i="3"/>
  <c r="A4" i="3"/>
  <c r="B4" i="3"/>
  <c r="C4" i="3"/>
  <c r="E4" i="3"/>
  <c r="F4" i="3"/>
  <c r="G4" i="3"/>
  <c r="H4" i="3"/>
  <c r="I4" i="3"/>
  <c r="J4" i="3"/>
  <c r="K4" i="3"/>
  <c r="L4" i="3"/>
  <c r="N4" i="3"/>
  <c r="O4" i="3"/>
  <c r="A5" i="3"/>
  <c r="B5" i="3"/>
  <c r="C5" i="3"/>
  <c r="E5" i="3"/>
  <c r="F5" i="3"/>
  <c r="G5" i="3"/>
  <c r="H5" i="3"/>
  <c r="I5" i="3"/>
  <c r="J5" i="3"/>
  <c r="K5" i="3"/>
  <c r="L5" i="3"/>
  <c r="N5" i="3"/>
  <c r="O5" i="3"/>
  <c r="A6" i="3"/>
  <c r="B6" i="3"/>
  <c r="C6" i="3"/>
  <c r="E6" i="3"/>
  <c r="F6" i="3"/>
  <c r="G6" i="3"/>
  <c r="H6" i="3"/>
  <c r="I6" i="3"/>
  <c r="J6" i="3"/>
  <c r="K6" i="3"/>
  <c r="L6" i="3"/>
  <c r="N6" i="3"/>
  <c r="O6" i="3"/>
  <c r="A7" i="3"/>
  <c r="B7" i="3"/>
  <c r="C7" i="3"/>
  <c r="E7" i="3"/>
  <c r="F7" i="3"/>
  <c r="G7" i="3"/>
  <c r="H7" i="3"/>
  <c r="I7" i="3"/>
  <c r="J7" i="3"/>
  <c r="K7" i="3"/>
  <c r="L7" i="3"/>
  <c r="N7" i="3"/>
  <c r="O7" i="3"/>
  <c r="A8" i="3"/>
  <c r="B8" i="3"/>
  <c r="C8" i="3"/>
  <c r="E8" i="3"/>
  <c r="F8" i="3"/>
  <c r="G8" i="3"/>
  <c r="H8" i="3"/>
  <c r="I8" i="3"/>
  <c r="J8" i="3"/>
  <c r="K8" i="3"/>
  <c r="L8" i="3"/>
  <c r="N8" i="3"/>
  <c r="O8" i="3"/>
  <c r="A9" i="3"/>
  <c r="B9" i="3"/>
  <c r="C9" i="3"/>
  <c r="E9" i="3"/>
  <c r="F9" i="3"/>
  <c r="G9" i="3"/>
  <c r="H9" i="3"/>
  <c r="I9" i="3"/>
  <c r="J9" i="3"/>
  <c r="K9" i="3"/>
  <c r="L9" i="3"/>
  <c r="N9" i="3"/>
  <c r="O9" i="3"/>
  <c r="A10" i="3"/>
  <c r="B10" i="3"/>
  <c r="C10" i="3"/>
  <c r="E10" i="3"/>
  <c r="F10" i="3"/>
  <c r="G10" i="3"/>
  <c r="H10" i="3"/>
  <c r="I10" i="3"/>
  <c r="J10" i="3"/>
  <c r="K10" i="3"/>
  <c r="L10" i="3"/>
  <c r="N10" i="3"/>
  <c r="O10" i="3"/>
  <c r="A11" i="3"/>
  <c r="B11" i="3"/>
  <c r="C11" i="3"/>
  <c r="E11" i="3"/>
  <c r="F11" i="3"/>
  <c r="G11" i="3"/>
  <c r="H11" i="3"/>
  <c r="I11" i="3"/>
  <c r="J11" i="3"/>
  <c r="K11" i="3"/>
  <c r="L11" i="3"/>
  <c r="N11" i="3"/>
  <c r="O11" i="3"/>
  <c r="A12" i="3"/>
  <c r="B12" i="3"/>
  <c r="C12" i="3"/>
  <c r="E12" i="3"/>
  <c r="F12" i="3"/>
  <c r="G12" i="3"/>
  <c r="H12" i="3"/>
  <c r="I12" i="3"/>
  <c r="J12" i="3"/>
  <c r="K12" i="3"/>
  <c r="L12" i="3"/>
  <c r="N12" i="3"/>
  <c r="O12" i="3"/>
  <c r="A13" i="3"/>
  <c r="B13" i="3"/>
  <c r="C13" i="3"/>
  <c r="E13" i="3"/>
  <c r="F13" i="3"/>
  <c r="G13" i="3"/>
  <c r="H13" i="3"/>
  <c r="I13" i="3"/>
  <c r="J13" i="3"/>
  <c r="K13" i="3"/>
  <c r="L13" i="3"/>
  <c r="N13" i="3"/>
  <c r="O13" i="3"/>
  <c r="A14" i="3"/>
  <c r="B14" i="3"/>
  <c r="C14" i="3"/>
  <c r="E14" i="3"/>
  <c r="F14" i="3"/>
  <c r="G14" i="3"/>
  <c r="H14" i="3"/>
  <c r="I14" i="3"/>
  <c r="J14" i="3"/>
  <c r="K14" i="3"/>
  <c r="L14" i="3"/>
  <c r="N14" i="3"/>
  <c r="O14" i="3"/>
  <c r="A15" i="3"/>
  <c r="B15" i="3"/>
  <c r="C15" i="3"/>
  <c r="E15" i="3"/>
  <c r="F15" i="3"/>
  <c r="G15" i="3"/>
  <c r="H15" i="3"/>
  <c r="I15" i="3"/>
  <c r="J15" i="3"/>
  <c r="K15" i="3"/>
  <c r="L15" i="3"/>
  <c r="N15" i="3"/>
  <c r="O15" i="3"/>
  <c r="A16" i="3"/>
  <c r="B16" i="3"/>
  <c r="C16" i="3"/>
  <c r="E16" i="3"/>
  <c r="F16" i="3"/>
  <c r="G16" i="3"/>
  <c r="H16" i="3"/>
  <c r="I16" i="3"/>
  <c r="J16" i="3"/>
  <c r="K16" i="3"/>
  <c r="L16" i="3"/>
  <c r="N16" i="3"/>
  <c r="O16" i="3"/>
  <c r="A17" i="3"/>
  <c r="B17" i="3"/>
  <c r="C17" i="3"/>
  <c r="E17" i="3"/>
  <c r="F17" i="3"/>
  <c r="G17" i="3"/>
  <c r="H17" i="3"/>
  <c r="I17" i="3"/>
  <c r="J17" i="3"/>
  <c r="K17" i="3"/>
  <c r="L17" i="3"/>
  <c r="N17" i="3"/>
  <c r="O17" i="3"/>
  <c r="A18" i="3"/>
  <c r="B18" i="3"/>
  <c r="C18" i="3"/>
  <c r="E18" i="3"/>
  <c r="F18" i="3"/>
  <c r="G18" i="3"/>
  <c r="H18" i="3"/>
  <c r="I18" i="3"/>
  <c r="J18" i="3"/>
  <c r="K18" i="3"/>
  <c r="L18" i="3"/>
  <c r="N18" i="3"/>
  <c r="O18" i="3"/>
  <c r="A19" i="3"/>
  <c r="B19" i="3"/>
  <c r="C19" i="3"/>
  <c r="E19" i="3"/>
  <c r="F19" i="3"/>
  <c r="G19" i="3"/>
  <c r="H19" i="3"/>
  <c r="I19" i="3"/>
  <c r="J19" i="3"/>
  <c r="K19" i="3"/>
  <c r="L19" i="3"/>
  <c r="N19" i="3"/>
  <c r="O19" i="3"/>
  <c r="A20" i="3"/>
  <c r="B20" i="3"/>
  <c r="C20" i="3"/>
  <c r="E20" i="3"/>
  <c r="F20" i="3"/>
  <c r="G20" i="3"/>
  <c r="H20" i="3"/>
  <c r="I20" i="3"/>
  <c r="J20" i="3"/>
  <c r="K20" i="3"/>
  <c r="L20" i="3"/>
  <c r="N20" i="3"/>
  <c r="O20" i="3"/>
  <c r="A21" i="3"/>
  <c r="B21" i="3"/>
  <c r="C21" i="3"/>
  <c r="E21" i="3"/>
  <c r="F21" i="3"/>
  <c r="G21" i="3"/>
  <c r="H21" i="3"/>
  <c r="I21" i="3"/>
  <c r="J21" i="3"/>
  <c r="K21" i="3"/>
  <c r="L21" i="3"/>
  <c r="N21" i="3"/>
  <c r="O21" i="3"/>
  <c r="A22" i="3"/>
  <c r="B22" i="3"/>
  <c r="C22" i="3"/>
  <c r="E22" i="3"/>
  <c r="F22" i="3"/>
  <c r="G22" i="3"/>
  <c r="H22" i="3"/>
  <c r="I22" i="3"/>
  <c r="J22" i="3"/>
  <c r="K22" i="3"/>
  <c r="L22" i="3"/>
  <c r="N22" i="3"/>
  <c r="O22" i="3"/>
  <c r="A23" i="3"/>
  <c r="B23" i="3"/>
  <c r="C23" i="3"/>
  <c r="E23" i="3"/>
  <c r="F23" i="3"/>
  <c r="G23" i="3"/>
  <c r="H23" i="3"/>
  <c r="I23" i="3"/>
  <c r="J23" i="3"/>
  <c r="K23" i="3"/>
  <c r="L23" i="3"/>
  <c r="N23" i="3"/>
  <c r="O23" i="3"/>
  <c r="A24" i="3"/>
  <c r="B24" i="3"/>
  <c r="C24" i="3"/>
  <c r="E24" i="3"/>
  <c r="F24" i="3"/>
  <c r="G24" i="3"/>
  <c r="H24" i="3"/>
  <c r="I24" i="3"/>
  <c r="J24" i="3"/>
  <c r="K24" i="3"/>
  <c r="L24" i="3"/>
  <c r="N24" i="3"/>
  <c r="O24" i="3"/>
  <c r="A25" i="3"/>
  <c r="B25" i="3"/>
  <c r="C25" i="3"/>
  <c r="E25" i="3"/>
  <c r="F25" i="3"/>
  <c r="G25" i="3"/>
  <c r="H25" i="3"/>
  <c r="I25" i="3"/>
  <c r="J25" i="3"/>
  <c r="K25" i="3"/>
  <c r="L25" i="3"/>
  <c r="N25" i="3"/>
  <c r="O25" i="3"/>
  <c r="A26" i="3"/>
  <c r="B26" i="3"/>
  <c r="C26" i="3"/>
  <c r="E26" i="3"/>
  <c r="F26" i="3"/>
  <c r="G26" i="3"/>
  <c r="H26" i="3"/>
  <c r="I26" i="3"/>
  <c r="J26" i="3"/>
  <c r="K26" i="3"/>
  <c r="L26" i="3"/>
  <c r="N26" i="3"/>
  <c r="O26" i="3"/>
  <c r="A27" i="3"/>
  <c r="B27" i="3"/>
  <c r="C27" i="3"/>
  <c r="E27" i="3"/>
  <c r="F27" i="3"/>
  <c r="G27" i="3"/>
  <c r="H27" i="3"/>
  <c r="I27" i="3"/>
  <c r="J27" i="3"/>
  <c r="K27" i="3"/>
  <c r="L27" i="3"/>
  <c r="N27" i="3"/>
  <c r="O27" i="3"/>
  <c r="A28" i="3"/>
  <c r="B28" i="3"/>
  <c r="C28" i="3"/>
  <c r="E28" i="3"/>
  <c r="F28" i="3"/>
  <c r="G28" i="3"/>
  <c r="H28" i="3"/>
  <c r="I28" i="3"/>
  <c r="J28" i="3"/>
  <c r="K28" i="3"/>
  <c r="L28" i="3"/>
  <c r="N28" i="3"/>
  <c r="O28" i="3"/>
  <c r="A29" i="3"/>
  <c r="B29" i="3"/>
  <c r="C29" i="3"/>
  <c r="E29" i="3"/>
  <c r="F29" i="3"/>
  <c r="G29" i="3"/>
  <c r="H29" i="3"/>
  <c r="I29" i="3"/>
  <c r="J29" i="3"/>
  <c r="K29" i="3"/>
  <c r="L29" i="3"/>
  <c r="N29" i="3"/>
  <c r="O29" i="3"/>
  <c r="A30" i="3"/>
  <c r="B30" i="3"/>
  <c r="C30" i="3"/>
  <c r="E30" i="3"/>
  <c r="F30" i="3"/>
  <c r="G30" i="3"/>
  <c r="H30" i="3"/>
  <c r="I30" i="3"/>
  <c r="J30" i="3"/>
  <c r="K30" i="3"/>
  <c r="L30" i="3"/>
  <c r="N30" i="3"/>
  <c r="O30" i="3"/>
  <c r="A31" i="3"/>
  <c r="B31" i="3"/>
  <c r="C31" i="3"/>
  <c r="E31" i="3"/>
  <c r="F31" i="3"/>
  <c r="G31" i="3"/>
  <c r="H31" i="3"/>
  <c r="I31" i="3"/>
  <c r="J31" i="3"/>
  <c r="K31" i="3"/>
  <c r="L31" i="3"/>
  <c r="N31" i="3"/>
  <c r="O31" i="3"/>
  <c r="A32" i="3"/>
  <c r="B32" i="3"/>
  <c r="C32" i="3"/>
  <c r="E32" i="3"/>
  <c r="F32" i="3"/>
  <c r="G32" i="3"/>
  <c r="H32" i="3"/>
  <c r="I32" i="3"/>
  <c r="J32" i="3"/>
  <c r="K32" i="3"/>
  <c r="L32" i="3"/>
  <c r="N32" i="3"/>
  <c r="O32" i="3"/>
  <c r="A33" i="3"/>
  <c r="B33" i="3"/>
  <c r="C33" i="3"/>
  <c r="E33" i="3"/>
  <c r="F33" i="3"/>
  <c r="G33" i="3"/>
  <c r="H33" i="3"/>
  <c r="I33" i="3"/>
  <c r="J33" i="3"/>
  <c r="K33" i="3"/>
  <c r="L33" i="3"/>
  <c r="N33" i="3"/>
  <c r="O33" i="3"/>
  <c r="A34" i="3"/>
  <c r="B34" i="3"/>
  <c r="C34" i="3"/>
  <c r="E34" i="3"/>
  <c r="F34" i="3"/>
  <c r="G34" i="3"/>
  <c r="H34" i="3"/>
  <c r="I34" i="3"/>
  <c r="J34" i="3"/>
  <c r="K34" i="3"/>
  <c r="L34" i="3"/>
  <c r="N34" i="3"/>
  <c r="O34" i="3"/>
  <c r="A35" i="3"/>
  <c r="B35" i="3"/>
  <c r="C35" i="3"/>
  <c r="E35" i="3"/>
  <c r="F35" i="3"/>
  <c r="G35" i="3"/>
  <c r="H35" i="3"/>
  <c r="I35" i="3"/>
  <c r="J35" i="3"/>
  <c r="K35" i="3"/>
  <c r="L35" i="3"/>
  <c r="N35" i="3"/>
  <c r="O35" i="3"/>
  <c r="A36" i="3"/>
  <c r="B36" i="3"/>
  <c r="C36" i="3"/>
  <c r="E36" i="3"/>
  <c r="F36" i="3"/>
  <c r="G36" i="3"/>
  <c r="H36" i="3"/>
  <c r="I36" i="3"/>
  <c r="J36" i="3"/>
  <c r="K36" i="3"/>
  <c r="L36" i="3"/>
  <c r="N36" i="3"/>
  <c r="O36" i="3"/>
  <c r="A37" i="3"/>
  <c r="B37" i="3"/>
  <c r="C37" i="3"/>
  <c r="E37" i="3"/>
  <c r="F37" i="3"/>
  <c r="G37" i="3"/>
  <c r="H37" i="3"/>
  <c r="I37" i="3"/>
  <c r="J37" i="3"/>
  <c r="K37" i="3"/>
  <c r="L37" i="3"/>
  <c r="N37" i="3"/>
  <c r="O37" i="3"/>
  <c r="A38" i="3"/>
  <c r="B38" i="3"/>
  <c r="C38" i="3"/>
  <c r="E38" i="3"/>
  <c r="F38" i="3"/>
  <c r="G38" i="3"/>
  <c r="H38" i="3"/>
  <c r="I38" i="3"/>
  <c r="J38" i="3"/>
  <c r="K38" i="3"/>
  <c r="L38" i="3"/>
  <c r="N38" i="3"/>
  <c r="O38" i="3"/>
  <c r="A39" i="3"/>
  <c r="B39" i="3"/>
  <c r="C39" i="3"/>
  <c r="E39" i="3"/>
  <c r="F39" i="3"/>
  <c r="G39" i="3"/>
  <c r="H39" i="3"/>
  <c r="I39" i="3"/>
  <c r="J39" i="3"/>
  <c r="K39" i="3"/>
  <c r="L39" i="3"/>
  <c r="N39" i="3"/>
  <c r="O39" i="3"/>
  <c r="A40" i="3"/>
  <c r="B40" i="3"/>
  <c r="C40" i="3"/>
  <c r="E40" i="3"/>
  <c r="F40" i="3"/>
  <c r="G40" i="3"/>
  <c r="H40" i="3"/>
  <c r="I40" i="3"/>
  <c r="J40" i="3"/>
  <c r="K40" i="3"/>
  <c r="L40" i="3"/>
  <c r="N40" i="3"/>
  <c r="O40" i="3"/>
  <c r="A41" i="3"/>
  <c r="B41" i="3"/>
  <c r="C41" i="3"/>
  <c r="E41" i="3"/>
  <c r="F41" i="3"/>
  <c r="G41" i="3"/>
  <c r="H41" i="3"/>
  <c r="I41" i="3"/>
  <c r="J41" i="3"/>
  <c r="K41" i="3"/>
  <c r="L41" i="3"/>
  <c r="N41" i="3"/>
  <c r="O41" i="3"/>
  <c r="A42" i="3"/>
  <c r="B42" i="3"/>
  <c r="C42" i="3"/>
  <c r="E42" i="3"/>
  <c r="F42" i="3"/>
  <c r="G42" i="3"/>
  <c r="H42" i="3"/>
  <c r="I42" i="3"/>
  <c r="J42" i="3"/>
  <c r="K42" i="3"/>
  <c r="L42" i="3"/>
  <c r="N42" i="3"/>
  <c r="O42" i="3"/>
  <c r="A43" i="3"/>
  <c r="B43" i="3"/>
  <c r="C43" i="3"/>
  <c r="E43" i="3"/>
  <c r="F43" i="3"/>
  <c r="G43" i="3"/>
  <c r="H43" i="3"/>
  <c r="I43" i="3"/>
  <c r="J43" i="3"/>
  <c r="K43" i="3"/>
  <c r="L43" i="3"/>
  <c r="N43" i="3"/>
  <c r="O43" i="3"/>
  <c r="A44" i="3"/>
  <c r="B44" i="3"/>
  <c r="C44" i="3"/>
  <c r="E44" i="3"/>
  <c r="F44" i="3"/>
  <c r="G44" i="3"/>
  <c r="H44" i="3"/>
  <c r="I44" i="3"/>
  <c r="J44" i="3"/>
  <c r="K44" i="3"/>
  <c r="L44" i="3"/>
  <c r="N44" i="3"/>
  <c r="O44" i="3"/>
  <c r="A45" i="3"/>
  <c r="B45" i="3"/>
  <c r="C45" i="3"/>
  <c r="E45" i="3"/>
  <c r="F45" i="3"/>
  <c r="G45" i="3"/>
  <c r="H45" i="3"/>
  <c r="I45" i="3"/>
  <c r="J45" i="3"/>
  <c r="K45" i="3"/>
  <c r="L45" i="3"/>
  <c r="N45" i="3"/>
  <c r="O45" i="3"/>
  <c r="A46" i="3"/>
  <c r="B46" i="3"/>
  <c r="C46" i="3"/>
  <c r="E46" i="3"/>
  <c r="F46" i="3"/>
  <c r="G46" i="3"/>
  <c r="H46" i="3"/>
  <c r="I46" i="3"/>
  <c r="J46" i="3"/>
  <c r="K46" i="3"/>
  <c r="L46" i="3"/>
  <c r="N46" i="3"/>
  <c r="O46" i="3"/>
  <c r="A47" i="3"/>
  <c r="B47" i="3"/>
  <c r="C47" i="3"/>
  <c r="E47" i="3"/>
  <c r="F47" i="3"/>
  <c r="G47" i="3"/>
  <c r="H47" i="3"/>
  <c r="I47" i="3"/>
  <c r="J47" i="3"/>
  <c r="K47" i="3"/>
  <c r="L47" i="3"/>
  <c r="N47" i="3"/>
  <c r="O47" i="3"/>
  <c r="A48" i="3"/>
  <c r="B48" i="3"/>
  <c r="C48" i="3"/>
  <c r="E48" i="3"/>
  <c r="F48" i="3"/>
  <c r="G48" i="3"/>
  <c r="H48" i="3"/>
  <c r="I48" i="3"/>
  <c r="J48" i="3"/>
  <c r="K48" i="3"/>
  <c r="L48" i="3"/>
  <c r="N48" i="3"/>
  <c r="O48" i="3"/>
  <c r="A49" i="3"/>
  <c r="B49" i="3"/>
  <c r="C49" i="3"/>
  <c r="E49" i="3"/>
  <c r="F49" i="3"/>
  <c r="G49" i="3"/>
  <c r="H49" i="3"/>
  <c r="I49" i="3"/>
  <c r="J49" i="3"/>
  <c r="K49" i="3"/>
  <c r="L49" i="3"/>
  <c r="N49" i="3"/>
  <c r="O49" i="3"/>
  <c r="A50" i="3"/>
  <c r="B50" i="3"/>
  <c r="C50" i="3"/>
  <c r="E50" i="3"/>
  <c r="F50" i="3"/>
  <c r="G50" i="3"/>
  <c r="H50" i="3"/>
  <c r="I50" i="3"/>
  <c r="J50" i="3"/>
  <c r="K50" i="3"/>
  <c r="L50" i="3"/>
  <c r="N50" i="3"/>
  <c r="O50" i="3"/>
  <c r="A51" i="3"/>
  <c r="B51" i="3"/>
  <c r="C51" i="3"/>
  <c r="E51" i="3"/>
  <c r="F51" i="3"/>
  <c r="G51" i="3"/>
  <c r="H51" i="3"/>
  <c r="I51" i="3"/>
  <c r="J51" i="3"/>
  <c r="K51" i="3"/>
  <c r="L51" i="3"/>
  <c r="N51" i="3"/>
  <c r="O51" i="3"/>
  <c r="A52" i="3"/>
  <c r="B52" i="3"/>
  <c r="C52" i="3"/>
  <c r="E52" i="3"/>
  <c r="F52" i="3"/>
  <c r="G52" i="3"/>
  <c r="H52" i="3"/>
  <c r="I52" i="3"/>
  <c r="J52" i="3"/>
  <c r="K52" i="3"/>
  <c r="L52" i="3"/>
  <c r="N52" i="3"/>
  <c r="O52" i="3"/>
  <c r="A53" i="3"/>
  <c r="B53" i="3"/>
  <c r="C53" i="3"/>
  <c r="E53" i="3"/>
  <c r="F53" i="3"/>
  <c r="G53" i="3"/>
  <c r="H53" i="3"/>
  <c r="I53" i="3"/>
  <c r="J53" i="3"/>
  <c r="K53" i="3"/>
  <c r="L53" i="3"/>
  <c r="N53" i="3"/>
  <c r="O53" i="3"/>
  <c r="A54" i="3"/>
  <c r="B54" i="3"/>
  <c r="C54" i="3"/>
  <c r="E54" i="3"/>
  <c r="F54" i="3"/>
  <c r="G54" i="3"/>
  <c r="H54" i="3"/>
  <c r="I54" i="3"/>
  <c r="J54" i="3"/>
  <c r="K54" i="3"/>
  <c r="L54" i="3"/>
  <c r="N54" i="3"/>
  <c r="O54" i="3"/>
  <c r="A55" i="3"/>
  <c r="B55" i="3"/>
  <c r="C55" i="3"/>
  <c r="E55" i="3"/>
  <c r="F55" i="3"/>
  <c r="G55" i="3"/>
  <c r="H55" i="3"/>
  <c r="I55" i="3"/>
  <c r="J55" i="3"/>
  <c r="K55" i="3"/>
  <c r="L55" i="3"/>
  <c r="N55" i="3"/>
  <c r="O55" i="3"/>
  <c r="A56" i="3"/>
  <c r="B56" i="3"/>
  <c r="C56" i="3"/>
  <c r="E56" i="3"/>
  <c r="F56" i="3"/>
  <c r="G56" i="3"/>
  <c r="H56" i="3"/>
  <c r="I56" i="3"/>
  <c r="J56" i="3"/>
  <c r="K56" i="3"/>
  <c r="L56" i="3"/>
  <c r="N56" i="3"/>
  <c r="O56" i="3"/>
  <c r="A57" i="3"/>
  <c r="B57" i="3"/>
  <c r="C57" i="3"/>
  <c r="E57" i="3"/>
  <c r="F57" i="3"/>
  <c r="G57" i="3"/>
  <c r="H57" i="3"/>
  <c r="I57" i="3"/>
  <c r="J57" i="3"/>
  <c r="K57" i="3"/>
  <c r="L57" i="3"/>
  <c r="N57" i="3"/>
  <c r="O57" i="3"/>
  <c r="A58" i="3"/>
  <c r="B58" i="3"/>
  <c r="C58" i="3"/>
  <c r="E58" i="3"/>
  <c r="F58" i="3"/>
  <c r="G58" i="3"/>
  <c r="H58" i="3"/>
  <c r="I58" i="3"/>
  <c r="J58" i="3"/>
  <c r="K58" i="3"/>
  <c r="L58" i="3"/>
  <c r="N58" i="3"/>
  <c r="O58" i="3"/>
  <c r="A59" i="3"/>
  <c r="B59" i="3"/>
  <c r="C59" i="3"/>
  <c r="E59" i="3"/>
  <c r="F59" i="3"/>
  <c r="G59" i="3"/>
  <c r="H59" i="3"/>
  <c r="I59" i="3"/>
  <c r="J59" i="3"/>
  <c r="K59" i="3"/>
  <c r="L59" i="3"/>
  <c r="N59" i="3"/>
  <c r="O59" i="3"/>
  <c r="A60" i="3"/>
  <c r="B60" i="3"/>
  <c r="C60" i="3"/>
  <c r="E60" i="3"/>
  <c r="F60" i="3"/>
  <c r="G60" i="3"/>
  <c r="H60" i="3"/>
  <c r="I60" i="3"/>
  <c r="J60" i="3"/>
  <c r="K60" i="3"/>
  <c r="L60" i="3"/>
  <c r="N60" i="3"/>
  <c r="O60" i="3"/>
  <c r="A61" i="3"/>
  <c r="B61" i="3"/>
  <c r="C61" i="3"/>
  <c r="E61" i="3"/>
  <c r="F61" i="3"/>
  <c r="G61" i="3"/>
  <c r="H61" i="3"/>
  <c r="I61" i="3"/>
  <c r="J61" i="3"/>
  <c r="K61" i="3"/>
  <c r="L61" i="3"/>
  <c r="N61" i="3"/>
  <c r="O61" i="3"/>
  <c r="A62" i="3"/>
  <c r="B62" i="3"/>
  <c r="C62" i="3"/>
  <c r="E62" i="3"/>
  <c r="F62" i="3"/>
  <c r="G62" i="3"/>
  <c r="H62" i="3"/>
  <c r="I62" i="3"/>
  <c r="J62" i="3"/>
  <c r="K62" i="3"/>
  <c r="L62" i="3"/>
  <c r="N62" i="3"/>
  <c r="O62" i="3"/>
  <c r="A63" i="3"/>
  <c r="B63" i="3"/>
  <c r="C63" i="3"/>
  <c r="E63" i="3"/>
  <c r="F63" i="3"/>
  <c r="G63" i="3"/>
  <c r="H63" i="3"/>
  <c r="I63" i="3"/>
  <c r="J63" i="3"/>
  <c r="K63" i="3"/>
  <c r="L63" i="3"/>
  <c r="N63" i="3"/>
  <c r="O63" i="3"/>
  <c r="A64" i="3"/>
  <c r="B64" i="3"/>
  <c r="C64" i="3"/>
  <c r="E64" i="3"/>
  <c r="F64" i="3"/>
  <c r="G64" i="3"/>
  <c r="H64" i="3"/>
  <c r="I64" i="3"/>
  <c r="J64" i="3"/>
  <c r="K64" i="3"/>
  <c r="L64" i="3"/>
  <c r="N64" i="3"/>
  <c r="O64" i="3"/>
  <c r="A65" i="3"/>
  <c r="B65" i="3"/>
  <c r="C65" i="3"/>
  <c r="E65" i="3"/>
  <c r="F65" i="3"/>
  <c r="G65" i="3"/>
  <c r="H65" i="3"/>
  <c r="I65" i="3"/>
  <c r="J65" i="3"/>
  <c r="K65" i="3"/>
  <c r="L65" i="3"/>
  <c r="N65" i="3"/>
  <c r="O65" i="3"/>
  <c r="A66" i="3"/>
  <c r="B66" i="3"/>
  <c r="C66" i="3"/>
  <c r="E66" i="3"/>
  <c r="F66" i="3"/>
  <c r="G66" i="3"/>
  <c r="H66" i="3"/>
  <c r="I66" i="3"/>
  <c r="J66" i="3"/>
  <c r="K66" i="3"/>
  <c r="L66" i="3"/>
  <c r="N66" i="3"/>
  <c r="O66" i="3"/>
  <c r="A67" i="3"/>
  <c r="B67" i="3"/>
  <c r="C67" i="3"/>
  <c r="E67" i="3"/>
  <c r="F67" i="3"/>
  <c r="G67" i="3"/>
  <c r="H67" i="3"/>
  <c r="I67" i="3"/>
  <c r="J67" i="3"/>
  <c r="K67" i="3"/>
  <c r="L67" i="3"/>
  <c r="N67" i="3"/>
  <c r="O67" i="3"/>
  <c r="A68" i="3"/>
  <c r="B68" i="3"/>
  <c r="C68" i="3"/>
  <c r="E68" i="3"/>
  <c r="F68" i="3"/>
  <c r="G68" i="3"/>
  <c r="H68" i="3"/>
  <c r="I68" i="3"/>
  <c r="J68" i="3"/>
  <c r="K68" i="3"/>
  <c r="L68" i="3"/>
  <c r="N68" i="3"/>
  <c r="O68" i="3"/>
  <c r="A69" i="3"/>
  <c r="B69" i="3"/>
  <c r="C69" i="3"/>
  <c r="E69" i="3"/>
  <c r="F69" i="3"/>
  <c r="G69" i="3"/>
  <c r="H69" i="3"/>
  <c r="I69" i="3"/>
  <c r="J69" i="3"/>
  <c r="K69" i="3"/>
  <c r="L69" i="3"/>
  <c r="N69" i="3"/>
  <c r="O69" i="3"/>
  <c r="A70" i="3"/>
  <c r="B70" i="3"/>
  <c r="C70" i="3"/>
  <c r="E70" i="3"/>
  <c r="F70" i="3"/>
  <c r="G70" i="3"/>
  <c r="H70" i="3"/>
  <c r="I70" i="3"/>
  <c r="J70" i="3"/>
  <c r="K70" i="3"/>
  <c r="L70" i="3"/>
  <c r="N70" i="3"/>
  <c r="O70" i="3"/>
  <c r="A71" i="3"/>
  <c r="B71" i="3"/>
  <c r="C71" i="3"/>
  <c r="E71" i="3"/>
  <c r="F71" i="3"/>
  <c r="G71" i="3"/>
  <c r="H71" i="3"/>
  <c r="I71" i="3"/>
  <c r="J71" i="3"/>
  <c r="K71" i="3"/>
  <c r="L71" i="3"/>
  <c r="N71" i="3"/>
  <c r="O71" i="3"/>
  <c r="A72" i="3"/>
  <c r="B72" i="3"/>
  <c r="C72" i="3"/>
  <c r="E72" i="3"/>
  <c r="F72" i="3"/>
  <c r="G72" i="3"/>
  <c r="H72" i="3"/>
  <c r="I72" i="3"/>
  <c r="J72" i="3"/>
  <c r="K72" i="3"/>
  <c r="L72" i="3"/>
  <c r="N72" i="3"/>
  <c r="O72" i="3"/>
  <c r="A73" i="3"/>
  <c r="B73" i="3"/>
  <c r="C73" i="3"/>
  <c r="E73" i="3"/>
  <c r="F73" i="3"/>
  <c r="G73" i="3"/>
  <c r="H73" i="3"/>
  <c r="I73" i="3"/>
  <c r="J73" i="3"/>
  <c r="K73" i="3"/>
  <c r="L73" i="3"/>
  <c r="N73" i="3"/>
  <c r="O73" i="3"/>
  <c r="A74" i="3"/>
  <c r="B74" i="3"/>
  <c r="C74" i="3"/>
  <c r="E74" i="3"/>
  <c r="F74" i="3"/>
  <c r="G74" i="3"/>
  <c r="H74" i="3"/>
  <c r="I74" i="3"/>
  <c r="J74" i="3"/>
  <c r="K74" i="3"/>
  <c r="L74" i="3"/>
  <c r="N74" i="3"/>
  <c r="O74" i="3"/>
  <c r="A75" i="3"/>
  <c r="B75" i="3"/>
  <c r="C75" i="3"/>
  <c r="E75" i="3"/>
  <c r="F75" i="3"/>
  <c r="G75" i="3"/>
  <c r="H75" i="3"/>
  <c r="I75" i="3"/>
  <c r="J75" i="3"/>
  <c r="K75" i="3"/>
  <c r="L75" i="3"/>
  <c r="N75" i="3"/>
  <c r="O75" i="3"/>
  <c r="A76" i="3"/>
  <c r="B76" i="3"/>
  <c r="C76" i="3"/>
  <c r="E76" i="3"/>
  <c r="F76" i="3"/>
  <c r="G76" i="3"/>
  <c r="H76" i="3"/>
  <c r="I76" i="3"/>
  <c r="J76" i="3"/>
  <c r="K76" i="3"/>
  <c r="L76" i="3"/>
  <c r="N76" i="3"/>
  <c r="O76" i="3"/>
  <c r="A77" i="3"/>
  <c r="B77" i="3"/>
  <c r="C77" i="3"/>
  <c r="E77" i="3"/>
  <c r="F77" i="3"/>
  <c r="G77" i="3"/>
  <c r="H77" i="3"/>
  <c r="I77" i="3"/>
  <c r="J77" i="3"/>
  <c r="K77" i="3"/>
  <c r="L77" i="3"/>
  <c r="N77" i="3"/>
  <c r="O77" i="3"/>
  <c r="A3" i="4" l="1"/>
  <c r="B3" i="4"/>
  <c r="C3" i="4"/>
  <c r="D3" i="4"/>
  <c r="E3" i="4"/>
  <c r="F3" i="4"/>
  <c r="G3" i="4"/>
  <c r="A4" i="4"/>
  <c r="B4" i="4"/>
  <c r="C4" i="4"/>
  <c r="D4" i="4"/>
  <c r="E4" i="4"/>
  <c r="F4" i="4"/>
  <c r="G4" i="4"/>
  <c r="A5" i="4"/>
  <c r="B5" i="4"/>
  <c r="C5" i="4"/>
  <c r="D5" i="4"/>
  <c r="E5" i="4"/>
  <c r="F5" i="4"/>
  <c r="G5" i="4"/>
  <c r="A6" i="4"/>
  <c r="B6" i="4"/>
  <c r="C6" i="4"/>
  <c r="D6" i="4"/>
  <c r="E6" i="4"/>
  <c r="F6" i="4"/>
  <c r="G6" i="4"/>
  <c r="A7" i="4"/>
  <c r="B7" i="4"/>
  <c r="C7" i="4"/>
  <c r="D7" i="4"/>
  <c r="E7" i="4"/>
  <c r="F7" i="4"/>
  <c r="G7" i="4"/>
  <c r="A8" i="4"/>
  <c r="B8" i="4"/>
  <c r="C8" i="4"/>
  <c r="D8" i="4"/>
  <c r="E8" i="4"/>
  <c r="F8" i="4"/>
  <c r="G8" i="4"/>
  <c r="A9" i="4"/>
  <c r="B9" i="4"/>
  <c r="C9" i="4"/>
  <c r="D9" i="4"/>
  <c r="E9" i="4"/>
  <c r="F9" i="4"/>
  <c r="G9" i="4"/>
  <c r="A10" i="4"/>
  <c r="B10" i="4"/>
  <c r="C10" i="4"/>
  <c r="D10" i="4"/>
  <c r="E10" i="4"/>
  <c r="F10" i="4"/>
  <c r="G10" i="4"/>
  <c r="A11" i="4"/>
  <c r="B11" i="4"/>
  <c r="C11" i="4"/>
  <c r="D11" i="4"/>
  <c r="E11" i="4"/>
  <c r="F11" i="4"/>
  <c r="G11" i="4"/>
  <c r="A12" i="4"/>
  <c r="B12" i="4"/>
  <c r="C12" i="4"/>
  <c r="D12" i="4"/>
  <c r="E12" i="4"/>
  <c r="F12" i="4"/>
  <c r="G12" i="4"/>
  <c r="A13" i="4"/>
  <c r="B13" i="4"/>
  <c r="C13" i="4"/>
  <c r="D13" i="4"/>
  <c r="E13" i="4"/>
  <c r="F13" i="4"/>
  <c r="G13" i="4"/>
  <c r="A14" i="4"/>
  <c r="B14" i="4"/>
  <c r="C14" i="4"/>
  <c r="D14" i="4"/>
  <c r="E14" i="4"/>
  <c r="F14" i="4"/>
  <c r="G14" i="4"/>
  <c r="A15" i="4"/>
  <c r="B15" i="4"/>
  <c r="C15" i="4"/>
  <c r="D15" i="4"/>
  <c r="E15" i="4"/>
  <c r="F15" i="4"/>
  <c r="G15" i="4"/>
  <c r="A16" i="4"/>
  <c r="B16" i="4"/>
  <c r="C16" i="4"/>
  <c r="D16" i="4"/>
  <c r="E16" i="4"/>
  <c r="F16" i="4"/>
  <c r="G16" i="4"/>
  <c r="A17" i="4"/>
  <c r="B17" i="4"/>
  <c r="C17" i="4"/>
  <c r="D17" i="4"/>
  <c r="E17" i="4"/>
  <c r="F17" i="4"/>
  <c r="G17" i="4"/>
  <c r="A18" i="4"/>
  <c r="B18" i="4"/>
  <c r="C18" i="4"/>
  <c r="D18" i="4"/>
  <c r="E18" i="4"/>
  <c r="F18" i="4"/>
  <c r="G18" i="4"/>
  <c r="A19" i="4"/>
  <c r="B19" i="4"/>
  <c r="C19" i="4"/>
  <c r="D19" i="4"/>
  <c r="E19" i="4"/>
  <c r="F19" i="4"/>
  <c r="G19" i="4"/>
  <c r="A20" i="4"/>
  <c r="B20" i="4"/>
  <c r="C20" i="4"/>
  <c r="D20" i="4"/>
  <c r="E20" i="4"/>
  <c r="F20" i="4"/>
  <c r="G20" i="4"/>
  <c r="A21" i="4"/>
  <c r="B21" i="4"/>
  <c r="C21" i="4"/>
  <c r="D21" i="4"/>
  <c r="E21" i="4"/>
  <c r="F21" i="4"/>
  <c r="G21" i="4"/>
  <c r="A22" i="4"/>
  <c r="B22" i="4"/>
  <c r="C22" i="4"/>
  <c r="D22" i="4"/>
  <c r="E22" i="4"/>
  <c r="F22" i="4"/>
  <c r="G22" i="4"/>
  <c r="A23" i="4"/>
  <c r="B23" i="4"/>
  <c r="C23" i="4"/>
  <c r="D23" i="4"/>
  <c r="E23" i="4"/>
  <c r="F23" i="4"/>
  <c r="G23" i="4"/>
  <c r="A24" i="4"/>
  <c r="B24" i="4"/>
  <c r="C24" i="4"/>
  <c r="D24" i="4"/>
  <c r="E24" i="4"/>
  <c r="F24" i="4"/>
  <c r="G24" i="4"/>
  <c r="A25" i="4"/>
  <c r="B25" i="4"/>
  <c r="C25" i="4"/>
  <c r="D25" i="4"/>
  <c r="E25" i="4"/>
  <c r="F25" i="4"/>
  <c r="G25" i="4"/>
  <c r="A26" i="4"/>
  <c r="B26" i="4"/>
  <c r="C26" i="4"/>
  <c r="D26" i="4"/>
  <c r="E26" i="4"/>
  <c r="F26" i="4"/>
  <c r="G26" i="4"/>
  <c r="A27" i="4"/>
  <c r="B27" i="4"/>
  <c r="C27" i="4"/>
  <c r="D27" i="4"/>
  <c r="E27" i="4"/>
  <c r="F27" i="4"/>
  <c r="G27" i="4"/>
  <c r="A28" i="4"/>
  <c r="B28" i="4"/>
  <c r="C28" i="4"/>
  <c r="D28" i="4"/>
  <c r="E28" i="4"/>
  <c r="F28" i="4"/>
  <c r="G28" i="4"/>
  <c r="A29" i="4"/>
  <c r="B29" i="4"/>
  <c r="C29" i="4"/>
  <c r="D29" i="4"/>
  <c r="E29" i="4"/>
  <c r="F29" i="4"/>
  <c r="G29" i="4"/>
  <c r="A30" i="4"/>
  <c r="B30" i="4"/>
  <c r="C30" i="4"/>
  <c r="D30" i="4"/>
  <c r="E30" i="4"/>
  <c r="F30" i="4"/>
  <c r="G30" i="4"/>
  <c r="A31" i="4"/>
  <c r="B31" i="4"/>
  <c r="C31" i="4"/>
  <c r="D31" i="4"/>
  <c r="E31" i="4"/>
  <c r="F31" i="4"/>
  <c r="G31" i="4"/>
  <c r="A32" i="4"/>
  <c r="B32" i="4"/>
  <c r="C32" i="4"/>
  <c r="D32" i="4"/>
  <c r="E32" i="4"/>
  <c r="F32" i="4"/>
  <c r="G32" i="4"/>
  <c r="A33" i="4"/>
  <c r="B33" i="4"/>
  <c r="C33" i="4"/>
  <c r="D33" i="4"/>
  <c r="E33" i="4"/>
  <c r="F33" i="4"/>
  <c r="G33" i="4"/>
  <c r="A34" i="4"/>
  <c r="B34" i="4"/>
  <c r="C34" i="4"/>
  <c r="D34" i="4"/>
  <c r="E34" i="4"/>
  <c r="F34" i="4"/>
  <c r="G34" i="4"/>
  <c r="A35" i="4"/>
  <c r="B35" i="4"/>
  <c r="C35" i="4"/>
  <c r="D35" i="4"/>
  <c r="E35" i="4"/>
  <c r="F35" i="4"/>
  <c r="G35" i="4"/>
  <c r="A36" i="4"/>
  <c r="B36" i="4"/>
  <c r="C36" i="4"/>
  <c r="D36" i="4"/>
  <c r="E36" i="4"/>
  <c r="F36" i="4"/>
  <c r="G36" i="4"/>
  <c r="A37" i="4"/>
  <c r="B37" i="4"/>
  <c r="C37" i="4"/>
  <c r="D37" i="4"/>
  <c r="E37" i="4"/>
  <c r="F37" i="4"/>
  <c r="G37" i="4"/>
  <c r="A38" i="4"/>
  <c r="B38" i="4"/>
  <c r="C38" i="4"/>
  <c r="D38" i="4"/>
  <c r="E38" i="4"/>
  <c r="F38" i="4"/>
  <c r="G38" i="4"/>
  <c r="A39" i="4"/>
  <c r="B39" i="4"/>
  <c r="C39" i="4"/>
  <c r="D39" i="4"/>
  <c r="E39" i="4"/>
  <c r="F39" i="4"/>
  <c r="G39" i="4"/>
  <c r="A40" i="4"/>
  <c r="B40" i="4"/>
  <c r="C40" i="4"/>
  <c r="D40" i="4"/>
  <c r="E40" i="4"/>
  <c r="F40" i="4"/>
  <c r="G40" i="4"/>
  <c r="A41" i="4"/>
  <c r="B41" i="4"/>
  <c r="C41" i="4"/>
  <c r="D41" i="4"/>
  <c r="E41" i="4"/>
  <c r="F41" i="4"/>
  <c r="G41" i="4"/>
  <c r="A42" i="4"/>
  <c r="B42" i="4"/>
  <c r="C42" i="4"/>
  <c r="D42" i="4"/>
  <c r="E42" i="4"/>
  <c r="F42" i="4"/>
  <c r="G42" i="4"/>
  <c r="A43" i="4"/>
  <c r="B43" i="4"/>
  <c r="C43" i="4"/>
  <c r="D43" i="4"/>
  <c r="E43" i="4"/>
  <c r="F43" i="4"/>
  <c r="G43" i="4"/>
  <c r="A44" i="4"/>
  <c r="B44" i="4"/>
  <c r="C44" i="4"/>
  <c r="D44" i="4"/>
  <c r="E44" i="4"/>
  <c r="F44" i="4"/>
  <c r="G44" i="4"/>
  <c r="A45" i="4"/>
  <c r="B45" i="4"/>
  <c r="C45" i="4"/>
  <c r="D45" i="4"/>
  <c r="E45" i="4"/>
  <c r="F45" i="4"/>
  <c r="G45" i="4"/>
  <c r="A46" i="4"/>
  <c r="B46" i="4"/>
  <c r="C46" i="4"/>
  <c r="D46" i="4"/>
  <c r="E46" i="4"/>
  <c r="F46" i="4"/>
  <c r="G46" i="4"/>
  <c r="A47" i="4"/>
  <c r="B47" i="4"/>
  <c r="C47" i="4"/>
  <c r="D47" i="4"/>
  <c r="E47" i="4"/>
  <c r="F47" i="4"/>
  <c r="G47" i="4"/>
  <c r="A48" i="4"/>
  <c r="B48" i="4"/>
  <c r="C48" i="4"/>
  <c r="D48" i="4"/>
  <c r="E48" i="4"/>
  <c r="F48" i="4"/>
  <c r="G48" i="4"/>
  <c r="A49" i="4"/>
  <c r="B49" i="4"/>
  <c r="C49" i="4"/>
  <c r="D49" i="4"/>
  <c r="E49" i="4"/>
  <c r="F49" i="4"/>
  <c r="G49" i="4"/>
  <c r="A50" i="4"/>
  <c r="B50" i="4"/>
  <c r="C50" i="4"/>
  <c r="D50" i="4"/>
  <c r="E50" i="4"/>
  <c r="F50" i="4"/>
  <c r="G50" i="4"/>
  <c r="A51" i="4"/>
  <c r="B51" i="4"/>
  <c r="C51" i="4"/>
  <c r="D51" i="4"/>
  <c r="E51" i="4"/>
  <c r="F51" i="4"/>
  <c r="G51" i="4"/>
  <c r="A52" i="4"/>
  <c r="B52" i="4"/>
  <c r="C52" i="4"/>
  <c r="D52" i="4"/>
  <c r="E52" i="4"/>
  <c r="F52" i="4"/>
  <c r="G52" i="4"/>
  <c r="A53" i="4"/>
  <c r="B53" i="4"/>
  <c r="C53" i="4"/>
  <c r="D53" i="4"/>
  <c r="E53" i="4"/>
  <c r="F53" i="4"/>
  <c r="G53" i="4"/>
  <c r="A54" i="4"/>
  <c r="B54" i="4"/>
  <c r="C54" i="4"/>
  <c r="D54" i="4"/>
  <c r="E54" i="4"/>
  <c r="F54" i="4"/>
  <c r="G54" i="4"/>
  <c r="A55" i="4"/>
  <c r="B55" i="4"/>
  <c r="C55" i="4"/>
  <c r="D55" i="4"/>
  <c r="E55" i="4"/>
  <c r="F55" i="4"/>
  <c r="G55" i="4"/>
  <c r="A56" i="4"/>
  <c r="B56" i="4"/>
  <c r="C56" i="4"/>
  <c r="D56" i="4"/>
  <c r="E56" i="4"/>
  <c r="F56" i="4"/>
  <c r="G56" i="4"/>
  <c r="A57" i="4"/>
  <c r="B57" i="4"/>
  <c r="C57" i="4"/>
  <c r="D57" i="4"/>
  <c r="E57" i="4"/>
  <c r="F57" i="4"/>
  <c r="G57" i="4"/>
  <c r="A58" i="4"/>
  <c r="B58" i="4"/>
  <c r="C58" i="4"/>
  <c r="D58" i="4"/>
  <c r="E58" i="4"/>
  <c r="F58" i="4"/>
  <c r="G58" i="4"/>
  <c r="A59" i="4"/>
  <c r="B59" i="4"/>
  <c r="C59" i="4"/>
  <c r="D59" i="4"/>
  <c r="E59" i="4"/>
  <c r="F59" i="4"/>
  <c r="G59" i="4"/>
  <c r="A60" i="4"/>
  <c r="B60" i="4"/>
  <c r="C60" i="4"/>
  <c r="D60" i="4"/>
  <c r="E60" i="4"/>
  <c r="F60" i="4"/>
  <c r="G60" i="4"/>
  <c r="A61" i="4"/>
  <c r="B61" i="4"/>
  <c r="C61" i="4"/>
  <c r="D61" i="4"/>
  <c r="E61" i="4"/>
  <c r="F61" i="4"/>
  <c r="G61" i="4"/>
  <c r="A62" i="4"/>
  <c r="B62" i="4"/>
  <c r="C62" i="4"/>
  <c r="D62" i="4"/>
  <c r="E62" i="4"/>
  <c r="F62" i="4"/>
  <c r="G62" i="4"/>
  <c r="A63" i="4"/>
  <c r="B63" i="4"/>
  <c r="C63" i="4"/>
  <c r="D63" i="4"/>
  <c r="E63" i="4"/>
  <c r="F63" i="4"/>
  <c r="G63" i="4"/>
  <c r="A64" i="4"/>
  <c r="B64" i="4"/>
  <c r="C64" i="4"/>
  <c r="D64" i="4"/>
  <c r="E64" i="4"/>
  <c r="F64" i="4"/>
  <c r="G64" i="4"/>
  <c r="A65" i="4"/>
  <c r="B65" i="4"/>
  <c r="C65" i="4"/>
  <c r="D65" i="4"/>
  <c r="E65" i="4"/>
  <c r="F65" i="4"/>
  <c r="G65" i="4"/>
  <c r="A66" i="4"/>
  <c r="B66" i="4"/>
  <c r="C66" i="4"/>
  <c r="D66" i="4"/>
  <c r="E66" i="4"/>
  <c r="F66" i="4"/>
  <c r="G66" i="4"/>
  <c r="A67" i="4"/>
  <c r="B67" i="4"/>
  <c r="C67" i="4"/>
  <c r="D67" i="4"/>
  <c r="E67" i="4"/>
  <c r="F67" i="4"/>
  <c r="G67" i="4"/>
  <c r="A68" i="4"/>
  <c r="B68" i="4"/>
  <c r="C68" i="4"/>
  <c r="D68" i="4"/>
  <c r="E68" i="4"/>
  <c r="F68" i="4"/>
  <c r="G68" i="4"/>
  <c r="A69" i="4"/>
  <c r="B69" i="4"/>
  <c r="C69" i="4"/>
  <c r="D69" i="4"/>
  <c r="E69" i="4"/>
  <c r="F69" i="4"/>
  <c r="G69" i="4"/>
  <c r="A70" i="4"/>
  <c r="B70" i="4"/>
  <c r="C70" i="4"/>
  <c r="D70" i="4"/>
  <c r="E70" i="4"/>
  <c r="F70" i="4"/>
  <c r="G70" i="4"/>
  <c r="A71" i="4"/>
  <c r="B71" i="4"/>
  <c r="C71" i="4"/>
  <c r="D71" i="4"/>
  <c r="E71" i="4"/>
  <c r="F71" i="4"/>
  <c r="G71" i="4"/>
  <c r="A72" i="4"/>
  <c r="B72" i="4"/>
  <c r="C72" i="4"/>
  <c r="D72" i="4"/>
  <c r="E72" i="4"/>
  <c r="F72" i="4"/>
  <c r="G72" i="4"/>
  <c r="A73" i="4"/>
  <c r="B73" i="4"/>
  <c r="C73" i="4"/>
  <c r="D73" i="4"/>
  <c r="E73" i="4"/>
  <c r="F73" i="4"/>
  <c r="G73" i="4"/>
  <c r="A74" i="4"/>
  <c r="B74" i="4"/>
  <c r="C74" i="4"/>
  <c r="D74" i="4"/>
  <c r="E74" i="4"/>
  <c r="F74" i="4"/>
  <c r="G74" i="4"/>
  <c r="A75" i="4"/>
  <c r="B75" i="4"/>
  <c r="C75" i="4"/>
  <c r="D75" i="4"/>
  <c r="E75" i="4"/>
  <c r="F75" i="4"/>
  <c r="G75" i="4"/>
  <c r="A76" i="4"/>
  <c r="B76" i="4"/>
  <c r="C76" i="4"/>
  <c r="D76" i="4"/>
  <c r="E76" i="4"/>
  <c r="F76" i="4"/>
  <c r="G76" i="4"/>
  <c r="A77" i="4"/>
  <c r="B77" i="4"/>
  <c r="C77" i="4"/>
  <c r="D77" i="4"/>
  <c r="E77" i="4"/>
  <c r="F77" i="4"/>
  <c r="G77" i="4"/>
  <c r="A78" i="4"/>
  <c r="B78" i="4"/>
  <c r="C78" i="4"/>
  <c r="D78" i="4"/>
  <c r="E78" i="4"/>
  <c r="F78" i="4"/>
  <c r="G78" i="4"/>
  <c r="A79" i="4"/>
  <c r="B79" i="4"/>
  <c r="C79" i="4"/>
  <c r="D79" i="4"/>
  <c r="E79" i="4"/>
  <c r="F79" i="4"/>
  <c r="G79" i="4"/>
  <c r="A80" i="4"/>
  <c r="B80" i="4"/>
  <c r="C80" i="4"/>
  <c r="D80" i="4"/>
  <c r="E80" i="4"/>
  <c r="F80" i="4"/>
  <c r="G80" i="4"/>
  <c r="A81" i="4"/>
  <c r="B81" i="4"/>
  <c r="C81" i="4"/>
  <c r="D81" i="4"/>
  <c r="E81" i="4"/>
  <c r="F81" i="4"/>
  <c r="G81" i="4"/>
  <c r="A78" i="3"/>
  <c r="B78" i="3"/>
  <c r="C78" i="3"/>
  <c r="E78" i="3"/>
  <c r="F78" i="3"/>
  <c r="G78" i="3"/>
  <c r="H78" i="3"/>
  <c r="I78" i="3"/>
  <c r="J78" i="3"/>
  <c r="K78" i="3"/>
  <c r="L78" i="3"/>
  <c r="N78" i="3"/>
  <c r="O78" i="3"/>
  <c r="A79" i="3"/>
  <c r="B79" i="3"/>
  <c r="C79" i="3"/>
  <c r="E79" i="3"/>
  <c r="F79" i="3"/>
  <c r="G79" i="3"/>
  <c r="H79" i="3"/>
  <c r="I79" i="3"/>
  <c r="J79" i="3"/>
  <c r="K79" i="3"/>
  <c r="L79" i="3"/>
  <c r="N79" i="3"/>
  <c r="O79" i="3"/>
  <c r="A80" i="3"/>
  <c r="B80" i="3"/>
  <c r="C80" i="3"/>
  <c r="E80" i="3"/>
  <c r="F80" i="3"/>
  <c r="G80" i="3"/>
  <c r="H80" i="3"/>
  <c r="I80" i="3"/>
  <c r="J80" i="3"/>
  <c r="K80" i="3"/>
  <c r="L80" i="3"/>
  <c r="N80" i="3"/>
  <c r="O80" i="3"/>
  <c r="E69" i="1" l="1"/>
  <c r="E68" i="1"/>
  <c r="E67" i="1"/>
  <c r="E66" i="1"/>
  <c r="E65" i="1"/>
  <c r="E64" i="1"/>
  <c r="E9" i="1" l="1"/>
  <c r="F2" i="4" l="1"/>
  <c r="E2" i="4"/>
  <c r="C2" i="4"/>
  <c r="D2" i="4"/>
  <c r="G2" i="4" l="1"/>
  <c r="B2" i="4"/>
  <c r="A2" i="4"/>
  <c r="A2" i="3" l="1"/>
  <c r="B2" i="3"/>
  <c r="E2" i="3"/>
  <c r="F2" i="3"/>
  <c r="G2" i="3"/>
  <c r="H2" i="3"/>
  <c r="I2" i="3"/>
  <c r="J2" i="3"/>
  <c r="K2" i="3"/>
  <c r="L2" i="3"/>
  <c r="N2" i="3"/>
  <c r="O2" i="3"/>
  <c r="E62" i="1" l="1"/>
  <c r="E61" i="1"/>
  <c r="E60" i="1"/>
  <c r="E56" i="1"/>
  <c r="E55" i="1"/>
  <c r="E54" i="1"/>
  <c r="E25" i="1" l="1"/>
  <c r="E59" i="1" l="1"/>
  <c r="E58" i="1"/>
  <c r="E57" i="1"/>
  <c r="E53" i="1"/>
  <c r="E52" i="1"/>
  <c r="E51" i="1"/>
  <c r="E63" i="1"/>
  <c r="E50" i="1" l="1"/>
  <c r="E49" i="1"/>
  <c r="E48" i="1"/>
  <c r="E44" i="1"/>
  <c r="E43" i="1"/>
  <c r="E42" i="1"/>
  <c r="E38" i="1"/>
  <c r="E37" i="1"/>
  <c r="E36" i="1"/>
  <c r="E23" i="1"/>
  <c r="E22" i="1"/>
  <c r="E21" i="1"/>
  <c r="E20" i="1"/>
  <c r="E19" i="1"/>
  <c r="E18" i="1"/>
  <c r="E33" i="1" l="1"/>
  <c r="E11" i="1" l="1"/>
  <c r="E13" i="1" l="1"/>
  <c r="E12" i="1"/>
  <c r="E4" i="1" l="1"/>
  <c r="E8" i="1"/>
  <c r="E7" i="1"/>
  <c r="E6" i="1"/>
  <c r="E5" i="1"/>
  <c r="E17" i="1" l="1"/>
  <c r="E16" i="1"/>
  <c r="E15" i="1"/>
  <c r="E14" i="1"/>
  <c r="E35" i="1" l="1"/>
  <c r="E28" i="1"/>
  <c r="E29" i="1"/>
  <c r="E30" i="1"/>
  <c r="E31" i="1"/>
  <c r="E41" i="1"/>
  <c r="E40" i="1"/>
  <c r="E39" i="1"/>
  <c r="E34" i="1"/>
  <c r="E32" i="1"/>
  <c r="E27" i="1"/>
  <c r="E10" i="1" l="1"/>
  <c r="E24" i="1"/>
  <c r="E26" i="1"/>
  <c r="E45" i="1"/>
  <c r="E46" i="1"/>
  <c r="E47" i="1"/>
  <c r="E70" i="1"/>
  <c r="E71" i="1"/>
  <c r="E72" i="1"/>
  <c r="E73" i="1"/>
  <c r="E74" i="1"/>
  <c r="E75" i="1"/>
  <c r="E3" i="1" l="1"/>
  <c r="E2" i="1"/>
  <c r="C2" i="3" s="1"/>
  <c r="O150" i="3" l="1"/>
  <c r="N150" i="3"/>
  <c r="L150" i="3"/>
  <c r="K150" i="3"/>
  <c r="J150" i="3"/>
  <c r="I150" i="3"/>
  <c r="H150" i="3"/>
  <c r="G150" i="3"/>
  <c r="F150" i="3"/>
  <c r="C150" i="3"/>
  <c r="B150" i="3"/>
  <c r="A150" i="3"/>
  <c r="O149" i="3"/>
  <c r="N149" i="3"/>
  <c r="L149" i="3"/>
  <c r="K149" i="3"/>
  <c r="J149" i="3"/>
  <c r="I149" i="3"/>
  <c r="H149" i="3"/>
  <c r="G149" i="3"/>
  <c r="F149" i="3"/>
  <c r="C149" i="3"/>
  <c r="B149" i="3"/>
  <c r="A149" i="3"/>
  <c r="O148" i="3"/>
  <c r="N148" i="3"/>
  <c r="L148" i="3"/>
  <c r="K148" i="3"/>
  <c r="J148" i="3"/>
  <c r="I148" i="3"/>
  <c r="H148" i="3"/>
  <c r="G148" i="3"/>
  <c r="F148" i="3"/>
  <c r="C148" i="3"/>
  <c r="B148" i="3"/>
  <c r="A148" i="3"/>
  <c r="O147" i="3"/>
  <c r="N147" i="3"/>
  <c r="L147" i="3"/>
  <c r="K147" i="3"/>
  <c r="J147" i="3"/>
  <c r="I147" i="3"/>
  <c r="H147" i="3"/>
  <c r="G147" i="3"/>
  <c r="F147" i="3"/>
  <c r="C147" i="3"/>
  <c r="B147" i="3"/>
  <c r="A147" i="3"/>
  <c r="O146" i="3"/>
  <c r="N146" i="3"/>
  <c r="L146" i="3"/>
  <c r="K146" i="3"/>
  <c r="J146" i="3"/>
  <c r="I146" i="3"/>
  <c r="H146" i="3"/>
  <c r="G146" i="3"/>
  <c r="F146" i="3"/>
  <c r="C146" i="3"/>
  <c r="B146" i="3"/>
  <c r="A146" i="3"/>
  <c r="O145" i="3"/>
  <c r="N145" i="3"/>
  <c r="L145" i="3"/>
  <c r="K145" i="3"/>
  <c r="J145" i="3"/>
  <c r="I145" i="3"/>
  <c r="H145" i="3"/>
  <c r="G145" i="3"/>
  <c r="F145" i="3"/>
  <c r="C145" i="3"/>
  <c r="B145" i="3"/>
  <c r="A145" i="3"/>
  <c r="O144" i="3"/>
  <c r="N144" i="3"/>
  <c r="L144" i="3"/>
  <c r="K144" i="3"/>
  <c r="J144" i="3"/>
  <c r="I144" i="3"/>
  <c r="H144" i="3"/>
  <c r="G144" i="3"/>
  <c r="F144" i="3"/>
  <c r="C144" i="3"/>
  <c r="B144" i="3"/>
  <c r="A144" i="3"/>
</calcChain>
</file>

<file path=xl/sharedStrings.xml><?xml version="1.0" encoding="utf-8"?>
<sst xmlns="http://schemas.openxmlformats.org/spreadsheetml/2006/main" count="1597" uniqueCount="241">
  <si>
    <t>SVID</t>
  </si>
  <si>
    <t>,</t>
  </si>
  <si>
    <t>SVNAME</t>
  </si>
  <si>
    <t>NAME_LENGTH</t>
  </si>
  <si>
    <t>UNIT</t>
  </si>
  <si>
    <t>MIN_VALUE</t>
  </si>
  <si>
    <t>MAX_VALUE</t>
  </si>
  <si>
    <t>APPROPRIATE_MIN_VALUE</t>
  </si>
  <si>
    <t>APPROPRIATE_VALUE</t>
  </si>
  <si>
    <t>APPROPRIATE_MAX_VALUE</t>
  </si>
  <si>
    <t>DESCRIPTION</t>
  </si>
  <si>
    <t>REMARKS</t>
  </si>
  <si>
    <t>DATATYPE</t>
  </si>
  <si>
    <t>UTIL_CELL_ID</t>
  </si>
  <si>
    <t xml:space="preserve"> </t>
  </si>
  <si>
    <t>N/A</t>
  </si>
  <si>
    <t>년월일시분초 상시보고</t>
  </si>
  <si>
    <t>STRING</t>
  </si>
  <si>
    <t>UTIL_STEP_ID</t>
  </si>
  <si>
    <t>AUTO : 2 / STOP : 0</t>
  </si>
  <si>
    <t>INTEGER</t>
  </si>
  <si>
    <t>RUN_EFU</t>
  </si>
  <si>
    <t>RPM</t>
  </si>
  <si>
    <t>℃</t>
  </si>
  <si>
    <t>FLOAT</t>
  </si>
  <si>
    <t>kPa</t>
  </si>
  <si>
    <t>MPa</t>
  </si>
  <si>
    <t>설비에 공급되는 Main Air에 대한 압력값</t>
  </si>
  <si>
    <t>KWh</t>
  </si>
  <si>
    <t>KW</t>
  </si>
  <si>
    <t>V</t>
  </si>
  <si>
    <t>A</t>
  </si>
  <si>
    <t>UPS 전원 전력량</t>
  </si>
  <si>
    <t>UPS 전원 현재 소모전력</t>
  </si>
  <si>
    <t>DataType</t>
  </si>
  <si>
    <t>Name Length</t>
  </si>
  <si>
    <t>EQPID &amp; MODULEID</t>
  </si>
  <si>
    <t>발생 UNITID</t>
  </si>
  <si>
    <t>Unit(단위)</t>
  </si>
  <si>
    <t>MIN(최소값)</t>
  </si>
  <si>
    <t>MAX(최대값)</t>
  </si>
  <si>
    <t>적정 최소값</t>
  </si>
  <si>
    <t>적정값</t>
  </si>
  <si>
    <t>적정 최대값</t>
  </si>
  <si>
    <t>DATA TYPE</t>
  </si>
  <si>
    <t>MIN DSPR</t>
  </si>
  <si>
    <t>Description</t>
  </si>
  <si>
    <t>Remarks</t>
  </si>
  <si>
    <t>EFU_RPM_1</t>
    <phoneticPr fontId="1" type="noConversion"/>
  </si>
  <si>
    <t>설비 상부에 장착되는 EFU#1의 회전속도값</t>
    <phoneticPr fontId="1" type="noConversion"/>
  </si>
  <si>
    <t>UPS 전원 R상 전압값</t>
  </si>
  <si>
    <t>UPS 전원 R상 전류값</t>
  </si>
  <si>
    <t>UTIL</t>
    <phoneticPr fontId="1" type="noConversion"/>
  </si>
  <si>
    <t>UNITID</t>
    <phoneticPr fontId="1" type="noConversion"/>
  </si>
  <si>
    <t>VISION</t>
    <phoneticPr fontId="1" type="noConversion"/>
  </si>
  <si>
    <t>VISION</t>
    <phoneticPr fontId="1" type="noConversion"/>
  </si>
  <si>
    <t>SVNAME (ASCII 40)</t>
    <phoneticPr fontId="1" type="noConversion"/>
  </si>
  <si>
    <t>MAIN_CDA_PRESSURE</t>
    <phoneticPr fontId="1" type="noConversion"/>
  </si>
  <si>
    <t>mm</t>
    <phoneticPr fontId="1" type="noConversion"/>
  </si>
  <si>
    <t>%</t>
    <phoneticPr fontId="1" type="noConversion"/>
  </si>
  <si>
    <t>USE_IN_ROBOT_MCR</t>
    <phoneticPr fontId="1" type="noConversion"/>
  </si>
  <si>
    <t>MAIN_ELECTRICAL_TEMP</t>
    <phoneticPr fontId="1" type="noConversion"/>
  </si>
  <si>
    <t>MAIN 전장반 온도</t>
    <phoneticPr fontId="1" type="noConversion"/>
  </si>
  <si>
    <t>IN_ROBOT MCR 사용 여부 (0: Not Use 1: Use)</t>
    <phoneticPr fontId="1" type="noConversion"/>
  </si>
  <si>
    <t>EFU 동작 여부 (0: Not Run 1: Run)</t>
    <phoneticPr fontId="1" type="noConversion"/>
  </si>
  <si>
    <t>USE_INSP_STAGE_MAIN_VISION</t>
    <phoneticPr fontId="1" type="noConversion"/>
  </si>
  <si>
    <t>In Shuttle Pre-Align Score 인터락 세팅값</t>
  </si>
  <si>
    <t>In Shuttle P1 Pre-Align Cell ID</t>
  </si>
  <si>
    <t>In Shuttle P1 Pre-Align Step ID</t>
  </si>
  <si>
    <t>In Shuttle P1 Pre-Align Data Score</t>
  </si>
  <si>
    <t>In Shuttle P1 Pre-Align Data X</t>
  </si>
  <si>
    <t>In Shuttle P1 Pre-Align Data Y</t>
  </si>
  <si>
    <t>In Shuttle P1 Pre-Align Data T</t>
  </si>
  <si>
    <t>IN SHUTTLE</t>
    <phoneticPr fontId="1" type="noConversion"/>
  </si>
  <si>
    <t>IN SHUTTLE</t>
    <phoneticPr fontId="1" type="noConversion"/>
  </si>
  <si>
    <t>IN SHUTTLE</t>
    <phoneticPr fontId="1" type="noConversion"/>
  </si>
  <si>
    <t>IN ROBOT</t>
    <phoneticPr fontId="1" type="noConversion"/>
  </si>
  <si>
    <t>IN ROBOT</t>
    <phoneticPr fontId="1" type="noConversion"/>
  </si>
  <si>
    <t>IN ROBOT</t>
    <phoneticPr fontId="1" type="noConversion"/>
  </si>
  <si>
    <t>INSP STAGE</t>
    <phoneticPr fontId="1" type="noConversion"/>
  </si>
  <si>
    <t>INSP STAGE</t>
    <phoneticPr fontId="1" type="noConversion"/>
  </si>
  <si>
    <t>OUT ROBOT</t>
    <phoneticPr fontId="1" type="noConversion"/>
  </si>
  <si>
    <t>OUT ROBOT</t>
    <phoneticPr fontId="1" type="noConversion"/>
  </si>
  <si>
    <t>IN ROBOT #1의 CELL ID</t>
  </si>
  <si>
    <t>IN ROBOT #1의 STEP ID</t>
  </si>
  <si>
    <t>IN ROBOT #1의 모듈 흡착용 Vacuum 압력값</t>
  </si>
  <si>
    <t>OUT ROBOT #1의 CELL ID</t>
  </si>
  <si>
    <t>OUT ROBOT #1의 STEP ID</t>
  </si>
  <si>
    <t>OUT ROBOT #1의 모듈 흡착용 Vacuum 압력값</t>
  </si>
  <si>
    <t>검사기 사용 여부 (0: Not Use 1: Use)</t>
    <phoneticPr fontId="1" type="noConversion"/>
  </si>
  <si>
    <t>IN_SHUTTLE_PRE_ALIGN_SCORE_SETTING</t>
  </si>
  <si>
    <t>IN_SHUTTLE_P1_PRE_ALIGN_CELL_ID</t>
  </si>
  <si>
    <t>IN_SHUTTLE_P1_PRE_ALIGN_STEP_ID</t>
  </si>
  <si>
    <t>IN_SHUTTLE_P1_PRE_ALIGN_DATA_SCORE</t>
  </si>
  <si>
    <t>IN_SHUTTLE_P1_PRE_ALIGN_DATA_X</t>
  </si>
  <si>
    <t>IN_SHUTTLE_P1_PRE_ALIGN_DATA_Y</t>
  </si>
  <si>
    <t>IN_SHUTTLE_P1_PRE_ALIGN_DATA_T</t>
  </si>
  <si>
    <t>USE_IN_SHUTTLE_PRE_ALIGN</t>
    <phoneticPr fontId="1" type="noConversion"/>
  </si>
  <si>
    <t>OUT_ROBOT_P1_CELL_ID</t>
    <phoneticPr fontId="1" type="noConversion"/>
  </si>
  <si>
    <t>OUT_ROBOT_P1_STEP_ID</t>
    <phoneticPr fontId="1" type="noConversion"/>
  </si>
  <si>
    <t>OUT_ROBOT_P1_VACUUM_PRESSURE</t>
    <phoneticPr fontId="1" type="noConversion"/>
  </si>
  <si>
    <t>IN_ROBOT_P1_CELL_ID</t>
    <phoneticPr fontId="1" type="noConversion"/>
  </si>
  <si>
    <t>IN_ROBOT_P1_STEP_ID</t>
    <phoneticPr fontId="1" type="noConversion"/>
  </si>
  <si>
    <t>IN_ROBOT_P1_VACUUM_PRESSURE</t>
    <phoneticPr fontId="1" type="noConversion"/>
  </si>
  <si>
    <t>º</t>
    <phoneticPr fontId="1" type="noConversion"/>
  </si>
  <si>
    <t>%</t>
  </si>
  <si>
    <t>UPS 전원 R상 전압 고조파 함유량</t>
  </si>
  <si>
    <t>UPS 전원 R상 전류 고조파 함유량</t>
  </si>
  <si>
    <t>IN_SHUTTLE_P2_PRE_ALIGN_CELL_ID</t>
  </si>
  <si>
    <t>IN_SHUTTLE_P2_PRE_ALIGN_STEP_ID</t>
  </si>
  <si>
    <t>IN_SHUTTLE_P2_PRE_ALIGN_DATA_SCORE</t>
  </si>
  <si>
    <t>IN_SHUTTLE_P2_PRE_ALIGN_DATA_X</t>
  </si>
  <si>
    <t>IN_SHUTTLE_P2_PRE_ALIGN_DATA_Y</t>
  </si>
  <si>
    <t>IN_SHUTTLE_P2_PRE_ALIGN_DATA_T</t>
  </si>
  <si>
    <t>In Shuttle Pre-Align 사용 여부</t>
  </si>
  <si>
    <t>In Shuttle P2 Pre-Align Cell ID</t>
  </si>
  <si>
    <t>In Shuttle P2 Pre-Align Step ID</t>
  </si>
  <si>
    <t>In Shuttle P2 Pre-Align Data Score</t>
  </si>
  <si>
    <t>In Shuttle P2 Pre-Align Data X</t>
  </si>
  <si>
    <t>In Shuttle P2 Pre-Align Data Y</t>
  </si>
  <si>
    <t>In Shuttle P2 Pre-Align Data T</t>
  </si>
  <si>
    <t>USE_IN_SHUTTLE_PRE_ALIGN</t>
    <phoneticPr fontId="1" type="noConversion"/>
  </si>
  <si>
    <t>IN_SHUTTLE_P1_CELL_ID</t>
  </si>
  <si>
    <t>IN_SHUTTLE_P1_STEP_ID</t>
  </si>
  <si>
    <t>IN_SHUTTLE_P1_VACUUM_PRESSURE</t>
  </si>
  <si>
    <t>IN_SHUTTLE_P2_CELL_ID</t>
  </si>
  <si>
    <t>IN_SHUTTLE_P2_STEP_ID</t>
  </si>
  <si>
    <t>IN_SHUTTLE_P2_VACUUM_PRESSURE</t>
  </si>
  <si>
    <t>IN SHUTTLE #1의 CELL ID</t>
  </si>
  <si>
    <t>IN SHUTTLE #1의 STEP ID</t>
  </si>
  <si>
    <t>IN SHUTTLE #1의 모듈 흡착용 Vacuum 압력값</t>
  </si>
  <si>
    <t>IN SHUTTLE #2의 CELL ID</t>
  </si>
  <si>
    <t>IN SHUTTLE #2의 STEP ID</t>
  </si>
  <si>
    <t>IN SHUTTLE #2의 모듈 흡착용 Vacuum 압력값</t>
  </si>
  <si>
    <t>IN_ROBOT_P2_CELL_ID</t>
  </si>
  <si>
    <t>IN_ROBOT_P2_STEP_ID</t>
  </si>
  <si>
    <t>IN_ROBOT_P2_VACUUM_PRESSURE</t>
  </si>
  <si>
    <t>IN_ROBOT_P1_CELL_ID</t>
  </si>
  <si>
    <t>IN_ROBOT_P1_STEP_ID</t>
  </si>
  <si>
    <t>IN_ROBOT_P1_VACUUM_PRESSURE</t>
  </si>
  <si>
    <t>IN ROBOT #2의 CELL ID</t>
  </si>
  <si>
    <t>IN ROBOT #2의 STEP ID</t>
  </si>
  <si>
    <t>IN ROBOT #2의 모듈 흡착용 Vacuum 압력값</t>
  </si>
  <si>
    <t>OUT_ROBOT_P2_CELL_ID</t>
  </si>
  <si>
    <t>OUT_ROBOT_P2_STEP_ID</t>
  </si>
  <si>
    <t>OUT_ROBOT_P2_VACUUM_PRESSURE</t>
  </si>
  <si>
    <t>OUT_ROBOT_P1_CELL_ID</t>
  </si>
  <si>
    <t>OUT_ROBOT_P1_STEP_ID</t>
  </si>
  <si>
    <t>OUT_ROBOT_P1_VACUUM_PRESSURE</t>
  </si>
  <si>
    <t>OUT ROBOT #2의 CELL ID</t>
  </si>
  <si>
    <t>OUT ROBOT #2의 STEP ID</t>
  </si>
  <si>
    <t>OUT ROBOT #2의 모듈 흡착용 Vacuum 압력값</t>
  </si>
  <si>
    <t>sec</t>
    <phoneticPr fontId="1" type="noConversion"/>
  </si>
  <si>
    <t>OUT_FLIP_CELL_OUT_DELAY_TIME</t>
    <phoneticPr fontId="1" type="noConversion"/>
  </si>
  <si>
    <t>OUT FLIP 자재 배출 지연시간</t>
  </si>
  <si>
    <t>OUT FLIP</t>
  </si>
  <si>
    <t>,</t>
    <phoneticPr fontId="1" type="noConversion"/>
  </si>
  <si>
    <t>OUT_FLIP_P1_1_CELL_ID</t>
    <phoneticPr fontId="1" type="noConversion"/>
  </si>
  <si>
    <t>OUT_FLIP_P1_1_STEP_ID</t>
    <phoneticPr fontId="1" type="noConversion"/>
  </si>
  <si>
    <t>OUT_FLIP_P1_1_VACUUM_PRESSURE</t>
    <phoneticPr fontId="1" type="noConversion"/>
  </si>
  <si>
    <t>OUT_FLIP_P1_2_CELL_ID</t>
    <phoneticPr fontId="1" type="noConversion"/>
  </si>
  <si>
    <t>OUT_FLIP_P1_2_STEP_ID</t>
    <phoneticPr fontId="1" type="noConversion"/>
  </si>
  <si>
    <t>OUT_FLIP_P1_2_VACUUM_PRESSURE</t>
    <phoneticPr fontId="1" type="noConversion"/>
  </si>
  <si>
    <t>OUT_FLIP_P2_1_CELL_ID</t>
    <phoneticPr fontId="1" type="noConversion"/>
  </si>
  <si>
    <t>OUT_FLIP_P2_1_STEP_ID</t>
    <phoneticPr fontId="1" type="noConversion"/>
  </si>
  <si>
    <t>OUT_FLIP_P2_1_VACUUM_PRESSURE</t>
    <phoneticPr fontId="1" type="noConversion"/>
  </si>
  <si>
    <t>OUT_FLIP_P2_2_CELL_ID</t>
    <phoneticPr fontId="1" type="noConversion"/>
  </si>
  <si>
    <t>OUT_FLIP_P2_2_STEP_ID</t>
    <phoneticPr fontId="1" type="noConversion"/>
  </si>
  <si>
    <t>OUT_FLIP_P2_2_VACUUM_PRESSURE</t>
    <phoneticPr fontId="1" type="noConversion"/>
  </si>
  <si>
    <t>OUT FLIP #1_1의 CELL ID</t>
    <phoneticPr fontId="1" type="noConversion"/>
  </si>
  <si>
    <t>OUT FLIP #1_1의 STEP ID</t>
    <phoneticPr fontId="1" type="noConversion"/>
  </si>
  <si>
    <t>OUT FLIP #1_1의 모듈 흡착용 Vacuum 압력값</t>
    <phoneticPr fontId="1" type="noConversion"/>
  </si>
  <si>
    <t>OUT FLIP #1_2의 CELL ID</t>
    <phoneticPr fontId="1" type="noConversion"/>
  </si>
  <si>
    <t>OUT FLIP #1_2의 STEP ID</t>
    <phoneticPr fontId="1" type="noConversion"/>
  </si>
  <si>
    <t>OUT FLIP #1_2의 모듈 흡착용 Vacuum 압력값</t>
    <phoneticPr fontId="1" type="noConversion"/>
  </si>
  <si>
    <t>OUT FLIP #2_1의 CELL ID</t>
    <phoneticPr fontId="1" type="noConversion"/>
  </si>
  <si>
    <t>OUT FLIP #2_1의 STEP ID</t>
    <phoneticPr fontId="1" type="noConversion"/>
  </si>
  <si>
    <t>OUT FLIP #2_1의 모듈 흡착용 Vacuum 압력값</t>
    <phoneticPr fontId="1" type="noConversion"/>
  </si>
  <si>
    <t>OUT FLIP #2_2의 CELL ID</t>
    <phoneticPr fontId="1" type="noConversion"/>
  </si>
  <si>
    <t>OUT FLIP #2_2의 STEP ID</t>
    <phoneticPr fontId="1" type="noConversion"/>
  </si>
  <si>
    <t>OUT FLIP #2_2의 모듈 흡착용 Vacuum 압력값</t>
    <phoneticPr fontId="1" type="noConversion"/>
  </si>
  <si>
    <t>OUT_FLIP_P1_1_CELL_ID</t>
    <phoneticPr fontId="1" type="noConversion"/>
  </si>
  <si>
    <t>OUT_FLIP_P1_1_STEP_ID</t>
    <phoneticPr fontId="1" type="noConversion"/>
  </si>
  <si>
    <t>OUT_FLIP_P1_1_VACUUM_PRESSURE</t>
    <phoneticPr fontId="1" type="noConversion"/>
  </si>
  <si>
    <t>OUT_FLIP_P1_2_CELL_ID</t>
    <phoneticPr fontId="1" type="noConversion"/>
  </si>
  <si>
    <t>OUT_FLIP_P1_2_STEP_ID</t>
    <phoneticPr fontId="1" type="noConversion"/>
  </si>
  <si>
    <t>OUT_FLIP_P1_2_VACUUM_PRESSURE</t>
    <phoneticPr fontId="1" type="noConversion"/>
  </si>
  <si>
    <t>OUT_FLIP_P2_1_CELL_ID</t>
    <phoneticPr fontId="1" type="noConversion"/>
  </si>
  <si>
    <t>OUT_FLIP_P2_1_STEP_ID</t>
    <phoneticPr fontId="1" type="noConversion"/>
  </si>
  <si>
    <t>OUT_FLIP_P2_1_VACUUM_PRESSURE</t>
    <phoneticPr fontId="1" type="noConversion"/>
  </si>
  <si>
    <t>OUT_FLIP_P2_2_CELL_ID</t>
    <phoneticPr fontId="1" type="noConversion"/>
  </si>
  <si>
    <t>OUT_FLIP_P2_2_STEP_ID</t>
    <phoneticPr fontId="1" type="noConversion"/>
  </si>
  <si>
    <t>OUT_FLIP_P2_2_VACUUM_PRESSURE</t>
    <phoneticPr fontId="1" type="noConversion"/>
  </si>
  <si>
    <t>SVNAME</t>
    <phoneticPr fontId="1" type="noConversion"/>
  </si>
  <si>
    <t>UNIT</t>
    <phoneticPr fontId="1" type="noConversion"/>
  </si>
  <si>
    <t>MIN</t>
    <phoneticPr fontId="1" type="noConversion"/>
  </si>
  <si>
    <t>MAX</t>
    <phoneticPr fontId="1" type="noConversion"/>
  </si>
  <si>
    <t>DATATYPE</t>
    <phoneticPr fontId="1" type="noConversion"/>
  </si>
  <si>
    <t>DESCRIPTION</t>
    <phoneticPr fontId="1" type="noConversion"/>
  </si>
  <si>
    <t>MAIN_PCRACK_TEMP</t>
    <phoneticPr fontId="1" type="noConversion"/>
  </si>
  <si>
    <t>PC 랙 온도</t>
    <phoneticPr fontId="1" type="noConversion"/>
  </si>
  <si>
    <t>MAIN_VACUUM_PRESSURE</t>
    <phoneticPr fontId="1" type="noConversion"/>
  </si>
  <si>
    <t>INSP_STAGE_MAIN_VACUUM_PRESSURE</t>
    <phoneticPr fontId="1" type="noConversion"/>
  </si>
  <si>
    <t>MAIN_VACUUM_PRESSURE</t>
    <phoneticPr fontId="1" type="noConversion"/>
  </si>
  <si>
    <t>INSP_STAGE_MAIN_VACUUM_PRESSURE</t>
    <phoneticPr fontId="1" type="noConversion"/>
  </si>
  <si>
    <t>설비에 공급되는 Main Vacuum에 대한 압력값</t>
    <phoneticPr fontId="1" type="noConversion"/>
  </si>
  <si>
    <t>설비에 공급되는 검사스테이지 Main Vacuum에 대한 압력값</t>
    <phoneticPr fontId="1" type="noConversion"/>
  </si>
  <si>
    <t>INSP_STAGE_P1_CELL_ID</t>
    <phoneticPr fontId="1" type="noConversion"/>
  </si>
  <si>
    <t>INSP_STAGE_P1_STEP_ID</t>
    <phoneticPr fontId="1" type="noConversion"/>
  </si>
  <si>
    <t>INSP_STAGE_P1_VACUUM_PRESSURE</t>
    <phoneticPr fontId="1" type="noConversion"/>
  </si>
  <si>
    <t>INSP_STAGE_P2_CELL_ID</t>
    <phoneticPr fontId="1" type="noConversion"/>
  </si>
  <si>
    <t>INSP_STAGE_P2_STEP_ID</t>
    <phoneticPr fontId="1" type="noConversion"/>
  </si>
  <si>
    <t>INSP_STAGE_P2_VACUUM_PRESSURE</t>
    <phoneticPr fontId="1" type="noConversion"/>
  </si>
  <si>
    <t>INSP_STAGE_P1_CELL_ID</t>
    <phoneticPr fontId="1" type="noConversion"/>
  </si>
  <si>
    <t>INSP_STAGE_P1_STEP_ID</t>
    <phoneticPr fontId="1" type="noConversion"/>
  </si>
  <si>
    <t>INSP_STAGE_P1_VACUUM_PRESSURE</t>
    <phoneticPr fontId="1" type="noConversion"/>
  </si>
  <si>
    <t>INSP_STAGE_P2_VACUUM_PRESSURE</t>
    <phoneticPr fontId="1" type="noConversion"/>
  </si>
  <si>
    <t>INSP STAGE #1의 CELL ID</t>
    <phoneticPr fontId="1" type="noConversion"/>
  </si>
  <si>
    <t>INSP STAGE #1의 STEP ID</t>
    <phoneticPr fontId="1" type="noConversion"/>
  </si>
  <si>
    <t>INSP STAGE #1의 모듈 흡착용 Vacuum 압력값</t>
    <phoneticPr fontId="1" type="noConversion"/>
  </si>
  <si>
    <t>INSP STAGE #2의 CELL ID</t>
    <phoneticPr fontId="1" type="noConversion"/>
  </si>
  <si>
    <t>INSP STAGE #2의 STEP ID</t>
    <phoneticPr fontId="1" type="noConversion"/>
  </si>
  <si>
    <t>INSP STAGE #2의 모듈 흡착용 Vacuum 압력값</t>
    <phoneticPr fontId="1" type="noConversion"/>
  </si>
  <si>
    <t>SINGLE_PHASE_POWER_1</t>
  </si>
  <si>
    <t>INSTANTANEOUS_POWER_1</t>
  </si>
  <si>
    <t>R_PHASE_VOLTAGE_1</t>
  </si>
  <si>
    <t>R_PHASE_CURRENT_1</t>
  </si>
  <si>
    <t>R_PHASE_VOLTAGE_VTHD_1</t>
  </si>
  <si>
    <t>R_PHASE_CURRENT_ITDD_1</t>
  </si>
  <si>
    <t>SINGLE_PHASE_POWER_2</t>
  </si>
  <si>
    <t>INSTANTANEOUS_POWER_2</t>
  </si>
  <si>
    <t>R_PHASE_VOLTAGE_2</t>
  </si>
  <si>
    <t>R_PHASE_CURRENT_2</t>
  </si>
  <si>
    <t>R_PHASE_VOLTAGE_VTHD_2</t>
  </si>
  <si>
    <t>R_PHASE_CURRENT_ITDD_2</t>
  </si>
  <si>
    <t>GPS 전원 전력량</t>
  </si>
  <si>
    <t>GPS 전원 현재 소모전력</t>
  </si>
  <si>
    <t>GPS 전원 R상 전압값</t>
  </si>
  <si>
    <t>GPS 전원 R상 전류값</t>
  </si>
  <si>
    <t>GPS 전원 R상 전압 고조파 함유량</t>
  </si>
  <si>
    <t>GPS 전원 R상 전류 고조파 함유량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</si>
</sst>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맑은 고딕"/>
      <family val="2"/>
      <charset val="129"/>
    </font>
    <font>
      <sz val="8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표1" displayName="표1" ref="A1:A4" totalsRowShown="0">
  <autoFilter ref="A1:A4"/>
  <tableColumns count="1">
    <tableColumn id="1" name="DataTyp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5"/>
  <sheetViews>
    <sheetView zoomScale="85" zoomScaleNormal="85" workbookViewId="0">
      <pane ySplit="1" topLeftCell="A2" activePane="bottomLeft" state="frozen"/>
      <selection activeCell="U1" sqref="U1"/>
      <selection pane="bottomLeft" activeCell="A2" sqref="A2"/>
    </sheetView>
  </sheetViews>
  <sheetFormatPr defaultColWidth="8.58203125" defaultRowHeight="17" x14ac:dyDescent="0.45"/>
  <cols>
    <col min="1" max="1" width="7.83203125" customWidth="1"/>
    <col min="2" max="2" width="1.83203125" customWidth="1"/>
    <col min="3" max="3" width="49.08203125" bestFit="1" customWidth="1"/>
    <col min="4" max="4" width="1.83203125" customWidth="1"/>
    <col min="5" max="5" width="15.08203125" customWidth="1"/>
    <col min="6" max="6" width="1.83203125" customWidth="1"/>
    <col min="7" max="7" width="12.58203125" customWidth="1"/>
    <col min="8" max="8" width="1.83203125" customWidth="1"/>
    <col min="9" max="9" width="11.75" customWidth="1"/>
    <col min="10" max="10" width="1.83203125" customWidth="1"/>
    <col min="11" max="11" width="12.33203125" customWidth="1"/>
    <col min="12" max="12" width="1.83203125" customWidth="1"/>
    <col min="13" max="13" width="26.08203125" customWidth="1"/>
    <col min="14" max="14" width="1.83203125" customWidth="1"/>
    <col min="15" max="15" width="21.25" customWidth="1"/>
    <col min="16" max="16" width="1.83203125" customWidth="1"/>
    <col min="17" max="17" width="26.58203125" customWidth="1"/>
    <col min="18" max="18" width="1.83203125" customWidth="1"/>
    <col min="19" max="19" width="52.33203125" customWidth="1"/>
    <col min="20" max="20" width="1.83203125" customWidth="1"/>
    <col min="21" max="21" width="72.5" customWidth="1"/>
  </cols>
  <sheetData>
    <row r="1" spans="1:25" x14ac:dyDescent="0.45">
      <c r="A1" t="s">
        <v>0</v>
      </c>
      <c r="B1" t="s">
        <v>1</v>
      </c>
      <c r="C1" t="s">
        <v>2</v>
      </c>
      <c r="D1" t="s">
        <v>1</v>
      </c>
      <c r="E1" t="s">
        <v>3</v>
      </c>
      <c r="F1" t="s">
        <v>1</v>
      </c>
      <c r="G1" t="s">
        <v>4</v>
      </c>
      <c r="H1" t="s">
        <v>1</v>
      </c>
      <c r="I1" t="s">
        <v>5</v>
      </c>
      <c r="J1" t="s">
        <v>1</v>
      </c>
      <c r="K1" t="s">
        <v>6</v>
      </c>
      <c r="L1" t="s">
        <v>1</v>
      </c>
      <c r="M1" t="s">
        <v>7</v>
      </c>
      <c r="N1" t="s">
        <v>1</v>
      </c>
      <c r="O1" t="s">
        <v>8</v>
      </c>
      <c r="P1" t="s">
        <v>1</v>
      </c>
      <c r="Q1" t="s">
        <v>9</v>
      </c>
      <c r="R1" t="s">
        <v>1</v>
      </c>
      <c r="S1" t="s">
        <v>10</v>
      </c>
      <c r="T1" t="s">
        <v>1</v>
      </c>
      <c r="U1" t="s">
        <v>11</v>
      </c>
      <c r="W1" t="s">
        <v>12</v>
      </c>
      <c r="Y1" t="s">
        <v>53</v>
      </c>
    </row>
    <row r="2" spans="1:25" x14ac:dyDescent="0.45">
      <c r="A2">
        <v>10000</v>
      </c>
      <c r="B2" t="s">
        <v>1</v>
      </c>
      <c r="C2" t="s">
        <v>13</v>
      </c>
      <c r="D2" t="s">
        <v>1</v>
      </c>
      <c r="E2">
        <f t="shared" ref="E2:E26" si="0">LEN(C2)</f>
        <v>12</v>
      </c>
      <c r="F2" t="s">
        <v>1</v>
      </c>
      <c r="G2" t="s">
        <v>14</v>
      </c>
      <c r="H2" t="s">
        <v>1</v>
      </c>
      <c r="I2" t="s">
        <v>15</v>
      </c>
      <c r="J2" t="s">
        <v>1</v>
      </c>
      <c r="K2" t="s">
        <v>15</v>
      </c>
      <c r="L2" t="s">
        <v>1</v>
      </c>
      <c r="M2" t="s">
        <v>15</v>
      </c>
      <c r="N2" t="s">
        <v>1</v>
      </c>
      <c r="O2" t="s">
        <v>15</v>
      </c>
      <c r="P2" t="s">
        <v>1</v>
      </c>
      <c r="Q2" t="s">
        <v>15</v>
      </c>
      <c r="R2" t="s">
        <v>1</v>
      </c>
      <c r="S2" t="s">
        <v>13</v>
      </c>
      <c r="T2" t="s">
        <v>1</v>
      </c>
      <c r="U2" t="s">
        <v>16</v>
      </c>
      <c r="W2" t="s">
        <v>17</v>
      </c>
      <c r="Y2" t="s">
        <v>52</v>
      </c>
    </row>
    <row r="3" spans="1:25" x14ac:dyDescent="0.45">
      <c r="A3">
        <v>10001</v>
      </c>
      <c r="B3" t="s">
        <v>1</v>
      </c>
      <c r="C3" t="s">
        <v>18</v>
      </c>
      <c r="D3" t="s">
        <v>1</v>
      </c>
      <c r="E3">
        <f t="shared" si="0"/>
        <v>12</v>
      </c>
      <c r="F3" t="s">
        <v>1</v>
      </c>
      <c r="G3" t="s">
        <v>14</v>
      </c>
      <c r="H3" t="s">
        <v>1</v>
      </c>
      <c r="I3">
        <v>0</v>
      </c>
      <c r="J3" t="s">
        <v>1</v>
      </c>
      <c r="K3">
        <v>2</v>
      </c>
      <c r="L3" t="s">
        <v>1</v>
      </c>
      <c r="M3" t="s">
        <v>15</v>
      </c>
      <c r="N3" t="s">
        <v>1</v>
      </c>
      <c r="O3" t="s">
        <v>15</v>
      </c>
      <c r="P3" t="s">
        <v>1</v>
      </c>
      <c r="Q3" t="s">
        <v>15</v>
      </c>
      <c r="R3" t="s">
        <v>1</v>
      </c>
      <c r="S3" t="s">
        <v>18</v>
      </c>
      <c r="T3" t="s">
        <v>1</v>
      </c>
      <c r="U3" t="s">
        <v>19</v>
      </c>
      <c r="W3" t="s">
        <v>20</v>
      </c>
      <c r="Y3" t="s">
        <v>52</v>
      </c>
    </row>
    <row r="4" spans="1:25" x14ac:dyDescent="0.45">
      <c r="A4">
        <v>10002</v>
      </c>
      <c r="B4" t="s">
        <v>1</v>
      </c>
      <c r="C4" t="s">
        <v>60</v>
      </c>
      <c r="D4" t="s">
        <v>1</v>
      </c>
      <c r="E4">
        <f t="shared" si="0"/>
        <v>16</v>
      </c>
      <c r="F4" t="s">
        <v>1</v>
      </c>
      <c r="G4" t="s">
        <v>14</v>
      </c>
      <c r="H4" t="s">
        <v>1</v>
      </c>
      <c r="I4">
        <v>0</v>
      </c>
      <c r="J4" t="s">
        <v>1</v>
      </c>
      <c r="K4">
        <v>1</v>
      </c>
      <c r="L4" t="s">
        <v>1</v>
      </c>
      <c r="M4" t="s">
        <v>15</v>
      </c>
      <c r="N4" t="s">
        <v>1</v>
      </c>
      <c r="O4" t="s">
        <v>15</v>
      </c>
      <c r="P4" t="s">
        <v>1</v>
      </c>
      <c r="Q4" t="s">
        <v>15</v>
      </c>
      <c r="R4" t="s">
        <v>1</v>
      </c>
      <c r="S4" t="s">
        <v>60</v>
      </c>
      <c r="T4" t="s">
        <v>1</v>
      </c>
      <c r="U4" t="s">
        <v>63</v>
      </c>
      <c r="W4" t="s">
        <v>20</v>
      </c>
      <c r="Y4" t="s">
        <v>52</v>
      </c>
    </row>
    <row r="5" spans="1:25" x14ac:dyDescent="0.45">
      <c r="A5">
        <v>10003</v>
      </c>
      <c r="B5" t="s">
        <v>1</v>
      </c>
      <c r="C5" t="s">
        <v>65</v>
      </c>
      <c r="D5" t="s">
        <v>1</v>
      </c>
      <c r="E5">
        <f t="shared" ref="E5:E8" si="1">LEN(C5)</f>
        <v>26</v>
      </c>
      <c r="F5" t="s">
        <v>1</v>
      </c>
      <c r="G5" t="s">
        <v>14</v>
      </c>
      <c r="H5" t="s">
        <v>1</v>
      </c>
      <c r="I5">
        <v>0</v>
      </c>
      <c r="J5" t="s">
        <v>1</v>
      </c>
      <c r="K5">
        <v>1</v>
      </c>
      <c r="L5" t="s">
        <v>1</v>
      </c>
      <c r="M5" t="s">
        <v>15</v>
      </c>
      <c r="N5" t="s">
        <v>1</v>
      </c>
      <c r="O5" t="s">
        <v>15</v>
      </c>
      <c r="P5" t="s">
        <v>1</v>
      </c>
      <c r="Q5" t="s">
        <v>15</v>
      </c>
      <c r="R5" t="s">
        <v>1</v>
      </c>
      <c r="S5" t="s">
        <v>65</v>
      </c>
      <c r="T5" t="s">
        <v>1</v>
      </c>
      <c r="U5" t="s">
        <v>89</v>
      </c>
      <c r="W5" t="s">
        <v>20</v>
      </c>
      <c r="Y5" t="s">
        <v>55</v>
      </c>
    </row>
    <row r="6" spans="1:25" x14ac:dyDescent="0.45">
      <c r="A6">
        <v>10004</v>
      </c>
      <c r="B6" t="s">
        <v>1</v>
      </c>
      <c r="C6" t="s">
        <v>21</v>
      </c>
      <c r="D6" t="s">
        <v>1</v>
      </c>
      <c r="E6">
        <f t="shared" si="1"/>
        <v>7</v>
      </c>
      <c r="F6" t="s">
        <v>1</v>
      </c>
      <c r="G6" t="s">
        <v>14</v>
      </c>
      <c r="H6" t="s">
        <v>1</v>
      </c>
      <c r="I6">
        <v>0</v>
      </c>
      <c r="J6" t="s">
        <v>1</v>
      </c>
      <c r="K6">
        <v>1</v>
      </c>
      <c r="L6" t="s">
        <v>1</v>
      </c>
      <c r="M6" t="s">
        <v>15</v>
      </c>
      <c r="N6" t="s">
        <v>1</v>
      </c>
      <c r="O6" t="s">
        <v>15</v>
      </c>
      <c r="P6" t="s">
        <v>1</v>
      </c>
      <c r="Q6" t="s">
        <v>15</v>
      </c>
      <c r="R6" t="s">
        <v>1</v>
      </c>
      <c r="S6" t="s">
        <v>21</v>
      </c>
      <c r="T6" t="s">
        <v>1</v>
      </c>
      <c r="U6" t="s">
        <v>64</v>
      </c>
      <c r="W6" t="s">
        <v>20</v>
      </c>
      <c r="Y6" t="s">
        <v>52</v>
      </c>
    </row>
    <row r="7" spans="1:25" x14ac:dyDescent="0.45">
      <c r="A7">
        <v>10005</v>
      </c>
      <c r="B7" t="s">
        <v>1</v>
      </c>
      <c r="C7" t="s">
        <v>48</v>
      </c>
      <c r="D7" t="s">
        <v>1</v>
      </c>
      <c r="E7">
        <f t="shared" si="1"/>
        <v>9</v>
      </c>
      <c r="F7" t="s">
        <v>1</v>
      </c>
      <c r="G7" t="s">
        <v>22</v>
      </c>
      <c r="H7" t="s">
        <v>1</v>
      </c>
      <c r="I7">
        <v>0</v>
      </c>
      <c r="J7" t="s">
        <v>1</v>
      </c>
      <c r="K7">
        <v>1400</v>
      </c>
      <c r="L7" t="s">
        <v>1</v>
      </c>
      <c r="M7">
        <v>700</v>
      </c>
      <c r="N7" t="s">
        <v>1</v>
      </c>
      <c r="O7">
        <v>900</v>
      </c>
      <c r="P7" t="s">
        <v>1</v>
      </c>
      <c r="Q7">
        <v>1100</v>
      </c>
      <c r="R7" t="s">
        <v>1</v>
      </c>
      <c r="S7" t="s">
        <v>48</v>
      </c>
      <c r="T7" t="s">
        <v>1</v>
      </c>
      <c r="U7" t="s">
        <v>49</v>
      </c>
      <c r="W7" t="s">
        <v>20</v>
      </c>
      <c r="Y7" t="s">
        <v>52</v>
      </c>
    </row>
    <row r="8" spans="1:25" ht="15.75" customHeight="1" x14ac:dyDescent="0.45">
      <c r="A8">
        <v>10006</v>
      </c>
      <c r="B8" t="s">
        <v>1</v>
      </c>
      <c r="C8" t="s">
        <v>61</v>
      </c>
      <c r="D8" t="s">
        <v>1</v>
      </c>
      <c r="E8">
        <f t="shared" si="1"/>
        <v>20</v>
      </c>
      <c r="F8" t="s">
        <v>1</v>
      </c>
      <c r="G8" t="s">
        <v>23</v>
      </c>
      <c r="H8" t="s">
        <v>1</v>
      </c>
      <c r="I8">
        <v>0</v>
      </c>
      <c r="J8" t="s">
        <v>1</v>
      </c>
      <c r="K8">
        <v>100</v>
      </c>
      <c r="L8" t="s">
        <v>1</v>
      </c>
      <c r="M8">
        <v>20</v>
      </c>
      <c r="N8" t="s">
        <v>1</v>
      </c>
      <c r="O8">
        <v>28</v>
      </c>
      <c r="P8" t="s">
        <v>1</v>
      </c>
      <c r="Q8">
        <v>40</v>
      </c>
      <c r="R8" t="s">
        <v>1</v>
      </c>
      <c r="S8" t="s">
        <v>61</v>
      </c>
      <c r="T8" t="s">
        <v>1</v>
      </c>
      <c r="U8" t="s">
        <v>62</v>
      </c>
      <c r="W8" t="s">
        <v>24</v>
      </c>
      <c r="Y8" t="s">
        <v>52</v>
      </c>
    </row>
    <row r="9" spans="1:25" ht="15.75" customHeight="1" x14ac:dyDescent="0.45">
      <c r="A9">
        <v>10007</v>
      </c>
      <c r="B9" t="s">
        <v>1</v>
      </c>
      <c r="C9" t="s">
        <v>199</v>
      </c>
      <c r="D9" t="s">
        <v>1</v>
      </c>
      <c r="E9">
        <f t="shared" ref="E9" si="2">LEN(C9)</f>
        <v>16</v>
      </c>
      <c r="F9" t="s">
        <v>1</v>
      </c>
      <c r="G9" t="s">
        <v>23</v>
      </c>
      <c r="H9" t="s">
        <v>1</v>
      </c>
      <c r="I9">
        <v>0</v>
      </c>
      <c r="J9" t="s">
        <v>1</v>
      </c>
      <c r="K9">
        <v>100</v>
      </c>
      <c r="L9" t="s">
        <v>1</v>
      </c>
      <c r="M9">
        <v>20</v>
      </c>
      <c r="N9" t="s">
        <v>1</v>
      </c>
      <c r="O9">
        <v>28</v>
      </c>
      <c r="P9" t="s">
        <v>1</v>
      </c>
      <c r="Q9">
        <v>40</v>
      </c>
      <c r="R9" t="s">
        <v>1</v>
      </c>
      <c r="S9" t="s">
        <v>199</v>
      </c>
      <c r="T9" t="s">
        <v>1</v>
      </c>
      <c r="U9" t="s">
        <v>200</v>
      </c>
      <c r="W9" t="s">
        <v>24</v>
      </c>
      <c r="Y9" t="s">
        <v>52</v>
      </c>
    </row>
    <row r="10" spans="1:25" x14ac:dyDescent="0.45">
      <c r="A10">
        <v>10008</v>
      </c>
      <c r="B10" t="s">
        <v>1</v>
      </c>
      <c r="C10" t="s">
        <v>121</v>
      </c>
      <c r="D10" t="s">
        <v>1</v>
      </c>
      <c r="E10">
        <f t="shared" si="0"/>
        <v>24</v>
      </c>
      <c r="F10" t="s">
        <v>1</v>
      </c>
      <c r="G10" t="s">
        <v>14</v>
      </c>
      <c r="H10" t="s">
        <v>1</v>
      </c>
      <c r="I10">
        <v>0</v>
      </c>
      <c r="J10" t="s">
        <v>1</v>
      </c>
      <c r="K10">
        <v>1</v>
      </c>
      <c r="L10" t="s">
        <v>1</v>
      </c>
      <c r="M10" t="s">
        <v>15</v>
      </c>
      <c r="N10" t="s">
        <v>1</v>
      </c>
      <c r="O10" t="s">
        <v>15</v>
      </c>
      <c r="P10" t="s">
        <v>1</v>
      </c>
      <c r="Q10" t="s">
        <v>15</v>
      </c>
      <c r="R10" t="s">
        <v>1</v>
      </c>
      <c r="S10" t="s">
        <v>97</v>
      </c>
      <c r="T10" t="s">
        <v>1</v>
      </c>
      <c r="U10" t="s">
        <v>114</v>
      </c>
      <c r="W10" t="s">
        <v>20</v>
      </c>
      <c r="Y10" t="s">
        <v>54</v>
      </c>
    </row>
    <row r="11" spans="1:25" x14ac:dyDescent="0.45">
      <c r="A11">
        <v>10009</v>
      </c>
      <c r="B11" t="s">
        <v>1</v>
      </c>
      <c r="C11" t="s">
        <v>90</v>
      </c>
      <c r="D11" t="s">
        <v>1</v>
      </c>
      <c r="E11">
        <f t="shared" si="0"/>
        <v>34</v>
      </c>
      <c r="F11" t="s">
        <v>1</v>
      </c>
      <c r="G11" t="s">
        <v>59</v>
      </c>
      <c r="H11" t="s">
        <v>1</v>
      </c>
      <c r="I11">
        <v>0</v>
      </c>
      <c r="J11" t="s">
        <v>1</v>
      </c>
      <c r="K11">
        <v>100</v>
      </c>
      <c r="L11" t="s">
        <v>1</v>
      </c>
      <c r="M11" t="s">
        <v>15</v>
      </c>
      <c r="N11" t="s">
        <v>1</v>
      </c>
      <c r="O11" t="s">
        <v>15</v>
      </c>
      <c r="P11" t="s">
        <v>1</v>
      </c>
      <c r="Q11" t="s">
        <v>15</v>
      </c>
      <c r="R11" t="s">
        <v>1</v>
      </c>
      <c r="S11" t="s">
        <v>90</v>
      </c>
      <c r="T11" t="s">
        <v>1</v>
      </c>
      <c r="U11" t="s">
        <v>66</v>
      </c>
      <c r="W11" t="s">
        <v>24</v>
      </c>
      <c r="Y11" t="s">
        <v>54</v>
      </c>
    </row>
    <row r="12" spans="1:25" x14ac:dyDescent="0.45">
      <c r="A12">
        <v>10010</v>
      </c>
      <c r="B12" t="s">
        <v>1</v>
      </c>
      <c r="C12" t="s">
        <v>91</v>
      </c>
      <c r="D12" t="s">
        <v>1</v>
      </c>
      <c r="E12">
        <f t="shared" si="0"/>
        <v>31</v>
      </c>
      <c r="F12" t="s">
        <v>1</v>
      </c>
      <c r="G12" t="s">
        <v>14</v>
      </c>
      <c r="H12" t="s">
        <v>1</v>
      </c>
      <c r="I12" t="s">
        <v>15</v>
      </c>
      <c r="J12" t="s">
        <v>1</v>
      </c>
      <c r="K12" t="s">
        <v>15</v>
      </c>
      <c r="L12" t="s">
        <v>1</v>
      </c>
      <c r="M12" t="s">
        <v>15</v>
      </c>
      <c r="N12" t="s">
        <v>1</v>
      </c>
      <c r="O12" t="s">
        <v>15</v>
      </c>
      <c r="P12" t="s">
        <v>1</v>
      </c>
      <c r="Q12" t="s">
        <v>15</v>
      </c>
      <c r="R12" t="s">
        <v>1</v>
      </c>
      <c r="S12" t="s">
        <v>91</v>
      </c>
      <c r="T12" t="s">
        <v>1</v>
      </c>
      <c r="U12" t="s">
        <v>67</v>
      </c>
      <c r="W12" t="s">
        <v>17</v>
      </c>
      <c r="Y12" t="s">
        <v>54</v>
      </c>
    </row>
    <row r="13" spans="1:25" x14ac:dyDescent="0.45">
      <c r="A13">
        <v>10011</v>
      </c>
      <c r="B13" t="s">
        <v>1</v>
      </c>
      <c r="C13" t="s">
        <v>92</v>
      </c>
      <c r="D13" t="s">
        <v>1</v>
      </c>
      <c r="E13">
        <f t="shared" si="0"/>
        <v>31</v>
      </c>
      <c r="F13" t="s">
        <v>1</v>
      </c>
      <c r="G13" t="s">
        <v>14</v>
      </c>
      <c r="H13" t="s">
        <v>1</v>
      </c>
      <c r="I13">
        <v>0</v>
      </c>
      <c r="J13" t="s">
        <v>1</v>
      </c>
      <c r="K13">
        <v>2</v>
      </c>
      <c r="L13" t="s">
        <v>156</v>
      </c>
      <c r="M13" t="s">
        <v>15</v>
      </c>
      <c r="N13" t="s">
        <v>1</v>
      </c>
      <c r="O13" t="s">
        <v>15</v>
      </c>
      <c r="P13" t="s">
        <v>1</v>
      </c>
      <c r="Q13" t="s">
        <v>15</v>
      </c>
      <c r="R13" t="s">
        <v>1</v>
      </c>
      <c r="S13" t="s">
        <v>92</v>
      </c>
      <c r="T13" t="s">
        <v>1</v>
      </c>
      <c r="U13" t="s">
        <v>68</v>
      </c>
      <c r="W13" t="s">
        <v>20</v>
      </c>
      <c r="Y13" t="s">
        <v>54</v>
      </c>
    </row>
    <row r="14" spans="1:25" x14ac:dyDescent="0.45">
      <c r="A14">
        <v>10012</v>
      </c>
      <c r="B14" t="s">
        <v>1</v>
      </c>
      <c r="C14" t="s">
        <v>93</v>
      </c>
      <c r="D14" t="s">
        <v>1</v>
      </c>
      <c r="E14">
        <f t="shared" ref="E14:E19" si="3">LEN(C14)</f>
        <v>34</v>
      </c>
      <c r="F14" t="s">
        <v>1</v>
      </c>
      <c r="G14" t="s">
        <v>59</v>
      </c>
      <c r="H14" t="s">
        <v>1</v>
      </c>
      <c r="I14">
        <v>0</v>
      </c>
      <c r="J14" t="s">
        <v>1</v>
      </c>
      <c r="K14">
        <v>100</v>
      </c>
      <c r="L14" t="s">
        <v>1</v>
      </c>
      <c r="M14" t="s">
        <v>15</v>
      </c>
      <c r="N14" t="s">
        <v>1</v>
      </c>
      <c r="O14" t="s">
        <v>15</v>
      </c>
      <c r="P14" t="s">
        <v>1</v>
      </c>
      <c r="Q14" t="s">
        <v>15</v>
      </c>
      <c r="R14" t="s">
        <v>1</v>
      </c>
      <c r="S14" t="s">
        <v>93</v>
      </c>
      <c r="T14" t="s">
        <v>1</v>
      </c>
      <c r="U14" t="s">
        <v>69</v>
      </c>
      <c r="W14" t="s">
        <v>24</v>
      </c>
      <c r="Y14" t="s">
        <v>54</v>
      </c>
    </row>
    <row r="15" spans="1:25" x14ac:dyDescent="0.45">
      <c r="A15">
        <v>10013</v>
      </c>
      <c r="B15" t="s">
        <v>1</v>
      </c>
      <c r="C15" t="s">
        <v>94</v>
      </c>
      <c r="D15" t="s">
        <v>1</v>
      </c>
      <c r="E15">
        <f t="shared" si="3"/>
        <v>30</v>
      </c>
      <c r="F15" t="s">
        <v>1</v>
      </c>
      <c r="G15" t="s">
        <v>58</v>
      </c>
      <c r="H15" t="s">
        <v>1</v>
      </c>
      <c r="I15">
        <v>-999</v>
      </c>
      <c r="J15" t="s">
        <v>1</v>
      </c>
      <c r="K15">
        <v>999</v>
      </c>
      <c r="L15" t="s">
        <v>1</v>
      </c>
      <c r="M15" t="s">
        <v>15</v>
      </c>
      <c r="N15" t="s">
        <v>1</v>
      </c>
      <c r="O15" t="s">
        <v>15</v>
      </c>
      <c r="P15" t="s">
        <v>1</v>
      </c>
      <c r="Q15" t="s">
        <v>15</v>
      </c>
      <c r="R15" t="s">
        <v>1</v>
      </c>
      <c r="S15" t="s">
        <v>94</v>
      </c>
      <c r="T15" t="s">
        <v>1</v>
      </c>
      <c r="U15" t="s">
        <v>70</v>
      </c>
      <c r="W15" t="s">
        <v>24</v>
      </c>
      <c r="Y15" t="s">
        <v>54</v>
      </c>
    </row>
    <row r="16" spans="1:25" x14ac:dyDescent="0.45">
      <c r="A16">
        <v>10014</v>
      </c>
      <c r="B16" t="s">
        <v>1</v>
      </c>
      <c r="C16" t="s">
        <v>95</v>
      </c>
      <c r="D16" t="s">
        <v>1</v>
      </c>
      <c r="E16">
        <f t="shared" si="3"/>
        <v>30</v>
      </c>
      <c r="F16" t="s">
        <v>1</v>
      </c>
      <c r="G16" t="s">
        <v>58</v>
      </c>
      <c r="H16" t="s">
        <v>1</v>
      </c>
      <c r="I16">
        <v>-999</v>
      </c>
      <c r="J16" t="s">
        <v>1</v>
      </c>
      <c r="K16">
        <v>999</v>
      </c>
      <c r="L16" t="s">
        <v>1</v>
      </c>
      <c r="M16" t="s">
        <v>15</v>
      </c>
      <c r="N16" t="s">
        <v>1</v>
      </c>
      <c r="O16" t="s">
        <v>15</v>
      </c>
      <c r="P16" t="s">
        <v>1</v>
      </c>
      <c r="Q16" t="s">
        <v>15</v>
      </c>
      <c r="R16" t="s">
        <v>1</v>
      </c>
      <c r="S16" t="s">
        <v>95</v>
      </c>
      <c r="T16" t="s">
        <v>1</v>
      </c>
      <c r="U16" t="s">
        <v>71</v>
      </c>
      <c r="W16" t="s">
        <v>24</v>
      </c>
      <c r="Y16" t="s">
        <v>54</v>
      </c>
    </row>
    <row r="17" spans="1:25" x14ac:dyDescent="0.45">
      <c r="A17">
        <v>10015</v>
      </c>
      <c r="B17" t="s">
        <v>1</v>
      </c>
      <c r="C17" t="s">
        <v>96</v>
      </c>
      <c r="D17" t="s">
        <v>1</v>
      </c>
      <c r="E17">
        <f t="shared" si="3"/>
        <v>30</v>
      </c>
      <c r="F17" t="s">
        <v>1</v>
      </c>
      <c r="G17" t="s">
        <v>104</v>
      </c>
      <c r="H17" t="s">
        <v>1</v>
      </c>
      <c r="I17">
        <v>-999</v>
      </c>
      <c r="J17" t="s">
        <v>1</v>
      </c>
      <c r="K17">
        <v>999</v>
      </c>
      <c r="L17" t="s">
        <v>1</v>
      </c>
      <c r="M17" t="s">
        <v>15</v>
      </c>
      <c r="N17" t="s">
        <v>1</v>
      </c>
      <c r="O17" t="s">
        <v>15</v>
      </c>
      <c r="P17" t="s">
        <v>1</v>
      </c>
      <c r="Q17" t="s">
        <v>15</v>
      </c>
      <c r="R17" t="s">
        <v>1</v>
      </c>
      <c r="S17" t="s">
        <v>96</v>
      </c>
      <c r="T17" t="s">
        <v>1</v>
      </c>
      <c r="U17" t="s">
        <v>72</v>
      </c>
      <c r="W17" t="s">
        <v>24</v>
      </c>
      <c r="Y17" t="s">
        <v>54</v>
      </c>
    </row>
    <row r="18" spans="1:25" x14ac:dyDescent="0.45">
      <c r="A18">
        <v>10016</v>
      </c>
      <c r="B18" t="s">
        <v>1</v>
      </c>
      <c r="C18" t="s">
        <v>108</v>
      </c>
      <c r="D18" t="s">
        <v>1</v>
      </c>
      <c r="E18">
        <f t="shared" si="3"/>
        <v>31</v>
      </c>
      <c r="F18" t="s">
        <v>1</v>
      </c>
      <c r="G18" t="s">
        <v>14</v>
      </c>
      <c r="H18" t="s">
        <v>1</v>
      </c>
      <c r="I18" t="s">
        <v>15</v>
      </c>
      <c r="J18" t="s">
        <v>1</v>
      </c>
      <c r="K18" t="s">
        <v>15</v>
      </c>
      <c r="L18" t="s">
        <v>1</v>
      </c>
      <c r="M18" t="s">
        <v>15</v>
      </c>
      <c r="N18" t="s">
        <v>1</v>
      </c>
      <c r="O18" t="s">
        <v>15</v>
      </c>
      <c r="P18" t="s">
        <v>1</v>
      </c>
      <c r="Q18" t="s">
        <v>15</v>
      </c>
      <c r="R18" t="s">
        <v>1</v>
      </c>
      <c r="S18" t="s">
        <v>108</v>
      </c>
      <c r="T18" t="s">
        <v>1</v>
      </c>
      <c r="U18" t="s">
        <v>115</v>
      </c>
      <c r="W18" t="s">
        <v>17</v>
      </c>
      <c r="Y18" t="s">
        <v>54</v>
      </c>
    </row>
    <row r="19" spans="1:25" x14ac:dyDescent="0.45">
      <c r="A19">
        <v>10017</v>
      </c>
      <c r="B19" t="s">
        <v>1</v>
      </c>
      <c r="C19" t="s">
        <v>109</v>
      </c>
      <c r="D19" t="s">
        <v>1</v>
      </c>
      <c r="E19">
        <f t="shared" si="3"/>
        <v>31</v>
      </c>
      <c r="F19" t="s">
        <v>1</v>
      </c>
      <c r="G19" t="s">
        <v>14</v>
      </c>
      <c r="H19" t="s">
        <v>1</v>
      </c>
      <c r="I19">
        <v>0</v>
      </c>
      <c r="J19" t="s">
        <v>1</v>
      </c>
      <c r="K19">
        <v>2</v>
      </c>
      <c r="L19" t="s">
        <v>1</v>
      </c>
      <c r="M19" t="s">
        <v>15</v>
      </c>
      <c r="N19" t="s">
        <v>1</v>
      </c>
      <c r="O19" t="s">
        <v>15</v>
      </c>
      <c r="P19" t="s">
        <v>1</v>
      </c>
      <c r="Q19" t="s">
        <v>15</v>
      </c>
      <c r="R19" t="s">
        <v>1</v>
      </c>
      <c r="S19" t="s">
        <v>109</v>
      </c>
      <c r="T19" t="s">
        <v>1</v>
      </c>
      <c r="U19" t="s">
        <v>116</v>
      </c>
      <c r="W19" t="s">
        <v>20</v>
      </c>
      <c r="Y19" t="s">
        <v>54</v>
      </c>
    </row>
    <row r="20" spans="1:25" x14ac:dyDescent="0.45">
      <c r="A20">
        <v>10018</v>
      </c>
      <c r="B20" t="s">
        <v>1</v>
      </c>
      <c r="C20" t="s">
        <v>110</v>
      </c>
      <c r="D20" t="s">
        <v>1</v>
      </c>
      <c r="E20">
        <f t="shared" ref="E20:E23" si="4">LEN(C20)</f>
        <v>34</v>
      </c>
      <c r="F20" t="s">
        <v>1</v>
      </c>
      <c r="G20" t="s">
        <v>59</v>
      </c>
      <c r="H20" t="s">
        <v>1</v>
      </c>
      <c r="I20">
        <v>0</v>
      </c>
      <c r="J20" t="s">
        <v>1</v>
      </c>
      <c r="K20">
        <v>100</v>
      </c>
      <c r="L20" t="s">
        <v>1</v>
      </c>
      <c r="M20" t="s">
        <v>15</v>
      </c>
      <c r="N20" t="s">
        <v>1</v>
      </c>
      <c r="O20" t="s">
        <v>15</v>
      </c>
      <c r="P20" t="s">
        <v>1</v>
      </c>
      <c r="Q20" t="s">
        <v>15</v>
      </c>
      <c r="R20" t="s">
        <v>1</v>
      </c>
      <c r="S20" t="s">
        <v>110</v>
      </c>
      <c r="T20" t="s">
        <v>1</v>
      </c>
      <c r="U20" t="s">
        <v>117</v>
      </c>
      <c r="W20" t="s">
        <v>24</v>
      </c>
      <c r="Y20" t="s">
        <v>54</v>
      </c>
    </row>
    <row r="21" spans="1:25" x14ac:dyDescent="0.45">
      <c r="A21">
        <v>10019</v>
      </c>
      <c r="B21" t="s">
        <v>1</v>
      </c>
      <c r="C21" t="s">
        <v>111</v>
      </c>
      <c r="D21" t="s">
        <v>1</v>
      </c>
      <c r="E21">
        <f t="shared" si="4"/>
        <v>30</v>
      </c>
      <c r="F21" t="s">
        <v>1</v>
      </c>
      <c r="G21" t="s">
        <v>58</v>
      </c>
      <c r="H21" t="s">
        <v>1</v>
      </c>
      <c r="I21">
        <v>-999</v>
      </c>
      <c r="J21" t="s">
        <v>1</v>
      </c>
      <c r="K21">
        <v>999</v>
      </c>
      <c r="L21" t="s">
        <v>1</v>
      </c>
      <c r="M21" t="s">
        <v>15</v>
      </c>
      <c r="N21" t="s">
        <v>1</v>
      </c>
      <c r="O21" t="s">
        <v>15</v>
      </c>
      <c r="P21" t="s">
        <v>1</v>
      </c>
      <c r="Q21" t="s">
        <v>15</v>
      </c>
      <c r="R21" t="s">
        <v>1</v>
      </c>
      <c r="S21" t="s">
        <v>111</v>
      </c>
      <c r="T21" t="s">
        <v>1</v>
      </c>
      <c r="U21" t="s">
        <v>118</v>
      </c>
      <c r="W21" t="s">
        <v>24</v>
      </c>
      <c r="Y21" t="s">
        <v>54</v>
      </c>
    </row>
    <row r="22" spans="1:25" x14ac:dyDescent="0.45">
      <c r="A22">
        <v>10020</v>
      </c>
      <c r="B22" t="s">
        <v>1</v>
      </c>
      <c r="C22" t="s">
        <v>112</v>
      </c>
      <c r="D22" t="s">
        <v>1</v>
      </c>
      <c r="E22">
        <f t="shared" si="4"/>
        <v>30</v>
      </c>
      <c r="F22" t="s">
        <v>1</v>
      </c>
      <c r="G22" t="s">
        <v>58</v>
      </c>
      <c r="H22" t="s">
        <v>1</v>
      </c>
      <c r="I22">
        <v>-999</v>
      </c>
      <c r="J22" t="s">
        <v>1</v>
      </c>
      <c r="K22">
        <v>999</v>
      </c>
      <c r="L22" t="s">
        <v>1</v>
      </c>
      <c r="M22" t="s">
        <v>15</v>
      </c>
      <c r="N22" t="s">
        <v>1</v>
      </c>
      <c r="O22" t="s">
        <v>15</v>
      </c>
      <c r="P22" t="s">
        <v>1</v>
      </c>
      <c r="Q22" t="s">
        <v>15</v>
      </c>
      <c r="R22" t="s">
        <v>1</v>
      </c>
      <c r="S22" t="s">
        <v>112</v>
      </c>
      <c r="T22" t="s">
        <v>1</v>
      </c>
      <c r="U22" t="s">
        <v>119</v>
      </c>
      <c r="W22" t="s">
        <v>24</v>
      </c>
      <c r="Y22" t="s">
        <v>54</v>
      </c>
    </row>
    <row r="23" spans="1:25" x14ac:dyDescent="0.45">
      <c r="A23">
        <v>10021</v>
      </c>
      <c r="B23" t="s">
        <v>1</v>
      </c>
      <c r="C23" t="s">
        <v>113</v>
      </c>
      <c r="D23" t="s">
        <v>1</v>
      </c>
      <c r="E23">
        <f t="shared" si="4"/>
        <v>30</v>
      </c>
      <c r="F23" t="s">
        <v>1</v>
      </c>
      <c r="G23" t="s">
        <v>104</v>
      </c>
      <c r="H23" t="s">
        <v>1</v>
      </c>
      <c r="I23">
        <v>-999</v>
      </c>
      <c r="J23" t="s">
        <v>1</v>
      </c>
      <c r="K23">
        <v>999</v>
      </c>
      <c r="L23" t="s">
        <v>1</v>
      </c>
      <c r="M23" t="s">
        <v>15</v>
      </c>
      <c r="N23" t="s">
        <v>1</v>
      </c>
      <c r="O23" t="s">
        <v>15</v>
      </c>
      <c r="P23" t="s">
        <v>1</v>
      </c>
      <c r="Q23" t="s">
        <v>15</v>
      </c>
      <c r="R23" t="s">
        <v>1</v>
      </c>
      <c r="S23" t="s">
        <v>113</v>
      </c>
      <c r="T23" t="s">
        <v>1</v>
      </c>
      <c r="U23" t="s">
        <v>120</v>
      </c>
      <c r="W23" t="s">
        <v>24</v>
      </c>
      <c r="Y23" t="s">
        <v>54</v>
      </c>
    </row>
    <row r="24" spans="1:25" x14ac:dyDescent="0.45">
      <c r="A24">
        <v>10022</v>
      </c>
      <c r="B24" t="s">
        <v>1</v>
      </c>
      <c r="C24" t="s">
        <v>201</v>
      </c>
      <c r="D24" t="s">
        <v>1</v>
      </c>
      <c r="E24">
        <f t="shared" si="0"/>
        <v>20</v>
      </c>
      <c r="F24" t="s">
        <v>1</v>
      </c>
      <c r="G24" t="s">
        <v>25</v>
      </c>
      <c r="H24" t="s">
        <v>1</v>
      </c>
      <c r="I24">
        <v>-90</v>
      </c>
      <c r="J24" t="s">
        <v>1</v>
      </c>
      <c r="K24">
        <v>0</v>
      </c>
      <c r="L24" t="s">
        <v>1</v>
      </c>
      <c r="M24">
        <v>-60</v>
      </c>
      <c r="N24" t="s">
        <v>1</v>
      </c>
      <c r="O24">
        <v>-50</v>
      </c>
      <c r="P24" t="s">
        <v>1</v>
      </c>
      <c r="Q24">
        <v>-40</v>
      </c>
      <c r="R24" t="s">
        <v>1</v>
      </c>
      <c r="S24" t="s">
        <v>203</v>
      </c>
      <c r="T24" t="s">
        <v>1</v>
      </c>
      <c r="U24" t="s">
        <v>205</v>
      </c>
      <c r="W24" t="s">
        <v>24</v>
      </c>
      <c r="Y24" t="s">
        <v>52</v>
      </c>
    </row>
    <row r="25" spans="1:25" x14ac:dyDescent="0.45">
      <c r="A25">
        <v>10023</v>
      </c>
      <c r="B25" t="s">
        <v>1</v>
      </c>
      <c r="C25" t="s">
        <v>202</v>
      </c>
      <c r="D25" t="s">
        <v>1</v>
      </c>
      <c r="E25">
        <f t="shared" ref="E25" si="5">LEN(C25)</f>
        <v>31</v>
      </c>
      <c r="F25" t="s">
        <v>1</v>
      </c>
      <c r="G25" t="s">
        <v>25</v>
      </c>
      <c r="H25" t="s">
        <v>1</v>
      </c>
      <c r="I25">
        <v>-90</v>
      </c>
      <c r="J25" t="s">
        <v>1</v>
      </c>
      <c r="K25">
        <v>0</v>
      </c>
      <c r="L25" t="s">
        <v>1</v>
      </c>
      <c r="M25">
        <v>-60</v>
      </c>
      <c r="N25" t="s">
        <v>1</v>
      </c>
      <c r="O25">
        <v>-50</v>
      </c>
      <c r="P25" t="s">
        <v>1</v>
      </c>
      <c r="Q25">
        <v>-40</v>
      </c>
      <c r="R25" t="s">
        <v>1</v>
      </c>
      <c r="S25" t="s">
        <v>204</v>
      </c>
      <c r="T25" t="s">
        <v>1</v>
      </c>
      <c r="U25" t="s">
        <v>206</v>
      </c>
      <c r="W25" t="s">
        <v>24</v>
      </c>
      <c r="Y25" t="s">
        <v>52</v>
      </c>
    </row>
    <row r="26" spans="1:25" x14ac:dyDescent="0.45">
      <c r="A26">
        <v>10024</v>
      </c>
      <c r="B26" t="s">
        <v>1</v>
      </c>
      <c r="C26" t="s">
        <v>57</v>
      </c>
      <c r="D26" t="s">
        <v>1</v>
      </c>
      <c r="E26">
        <f t="shared" si="0"/>
        <v>17</v>
      </c>
      <c r="F26" t="s">
        <v>1</v>
      </c>
      <c r="G26" t="s">
        <v>26</v>
      </c>
      <c r="H26" t="s">
        <v>1</v>
      </c>
      <c r="I26">
        <v>0</v>
      </c>
      <c r="J26" t="s">
        <v>1</v>
      </c>
      <c r="K26">
        <v>0.7</v>
      </c>
      <c r="L26" t="s">
        <v>1</v>
      </c>
      <c r="M26">
        <v>0.35</v>
      </c>
      <c r="N26" t="s">
        <v>1</v>
      </c>
      <c r="O26">
        <v>0.5</v>
      </c>
      <c r="P26" t="s">
        <v>1</v>
      </c>
      <c r="Q26">
        <v>0.65</v>
      </c>
      <c r="R26" t="s">
        <v>1</v>
      </c>
      <c r="S26" t="s">
        <v>57</v>
      </c>
      <c r="T26" t="s">
        <v>1</v>
      </c>
      <c r="U26" t="s">
        <v>27</v>
      </c>
      <c r="W26" t="s">
        <v>24</v>
      </c>
      <c r="Y26" t="s">
        <v>52</v>
      </c>
    </row>
    <row r="27" spans="1:25" x14ac:dyDescent="0.45">
      <c r="A27">
        <v>10025</v>
      </c>
      <c r="B27" t="s">
        <v>1</v>
      </c>
      <c r="C27" t="s">
        <v>122</v>
      </c>
      <c r="D27" t="s">
        <v>1</v>
      </c>
      <c r="E27">
        <f t="shared" ref="E27:E47" si="6">LEN(C27)</f>
        <v>21</v>
      </c>
      <c r="F27" t="s">
        <v>1</v>
      </c>
      <c r="G27" t="s">
        <v>14</v>
      </c>
      <c r="H27" t="s">
        <v>1</v>
      </c>
      <c r="I27" t="s">
        <v>15</v>
      </c>
      <c r="J27" t="s">
        <v>1</v>
      </c>
      <c r="K27" t="s">
        <v>15</v>
      </c>
      <c r="L27" t="s">
        <v>1</v>
      </c>
      <c r="M27" t="s">
        <v>15</v>
      </c>
      <c r="N27" t="s">
        <v>1</v>
      </c>
      <c r="O27" t="s">
        <v>15</v>
      </c>
      <c r="P27" t="s">
        <v>1</v>
      </c>
      <c r="Q27" t="s">
        <v>15</v>
      </c>
      <c r="R27" t="s">
        <v>1</v>
      </c>
      <c r="S27" t="s">
        <v>122</v>
      </c>
      <c r="T27" t="s">
        <v>1</v>
      </c>
      <c r="U27" t="s">
        <v>128</v>
      </c>
      <c r="W27" t="s">
        <v>17</v>
      </c>
      <c r="Y27" t="s">
        <v>73</v>
      </c>
    </row>
    <row r="28" spans="1:25" x14ac:dyDescent="0.45">
      <c r="A28">
        <v>10026</v>
      </c>
      <c r="B28" t="s">
        <v>1</v>
      </c>
      <c r="C28" t="s">
        <v>123</v>
      </c>
      <c r="D28" t="s">
        <v>1</v>
      </c>
      <c r="E28">
        <f t="shared" si="6"/>
        <v>21</v>
      </c>
      <c r="F28" t="s">
        <v>1</v>
      </c>
      <c r="G28" t="s">
        <v>14</v>
      </c>
      <c r="H28" t="s">
        <v>1</v>
      </c>
      <c r="I28">
        <v>0</v>
      </c>
      <c r="J28" t="s">
        <v>1</v>
      </c>
      <c r="K28">
        <v>2</v>
      </c>
      <c r="L28" t="s">
        <v>1</v>
      </c>
      <c r="M28" t="s">
        <v>15</v>
      </c>
      <c r="N28" t="s">
        <v>1</v>
      </c>
      <c r="O28" t="s">
        <v>15</v>
      </c>
      <c r="P28" t="s">
        <v>1</v>
      </c>
      <c r="Q28" t="s">
        <v>15</v>
      </c>
      <c r="R28" t="s">
        <v>1</v>
      </c>
      <c r="S28" t="s">
        <v>123</v>
      </c>
      <c r="T28" t="s">
        <v>1</v>
      </c>
      <c r="U28" t="s">
        <v>129</v>
      </c>
      <c r="W28" t="s">
        <v>20</v>
      </c>
      <c r="Y28" t="s">
        <v>74</v>
      </c>
    </row>
    <row r="29" spans="1:25" x14ac:dyDescent="0.45">
      <c r="A29">
        <v>10027</v>
      </c>
      <c r="B29" t="s">
        <v>1</v>
      </c>
      <c r="C29" t="s">
        <v>124</v>
      </c>
      <c r="D29" t="s">
        <v>1</v>
      </c>
      <c r="E29">
        <f t="shared" si="6"/>
        <v>29</v>
      </c>
      <c r="F29" t="s">
        <v>1</v>
      </c>
      <c r="G29" t="s">
        <v>25</v>
      </c>
      <c r="H29" t="s">
        <v>1</v>
      </c>
      <c r="I29">
        <v>-70</v>
      </c>
      <c r="J29" t="s">
        <v>1</v>
      </c>
      <c r="K29">
        <v>0</v>
      </c>
      <c r="L29" t="s">
        <v>1</v>
      </c>
      <c r="M29">
        <v>-60</v>
      </c>
      <c r="N29" t="s">
        <v>1</v>
      </c>
      <c r="O29">
        <v>-50</v>
      </c>
      <c r="P29" t="s">
        <v>1</v>
      </c>
      <c r="Q29">
        <v>-40</v>
      </c>
      <c r="R29" t="s">
        <v>1</v>
      </c>
      <c r="S29" t="s">
        <v>124</v>
      </c>
      <c r="T29" t="s">
        <v>1</v>
      </c>
      <c r="U29" t="s">
        <v>130</v>
      </c>
      <c r="W29" t="s">
        <v>24</v>
      </c>
      <c r="Y29" t="s">
        <v>74</v>
      </c>
    </row>
    <row r="30" spans="1:25" x14ac:dyDescent="0.45">
      <c r="A30">
        <v>10028</v>
      </c>
      <c r="B30" t="s">
        <v>1</v>
      </c>
      <c r="C30" t="s">
        <v>125</v>
      </c>
      <c r="D30" t="s">
        <v>1</v>
      </c>
      <c r="E30">
        <f t="shared" si="6"/>
        <v>21</v>
      </c>
      <c r="F30" t="s">
        <v>1</v>
      </c>
      <c r="G30" t="s">
        <v>14</v>
      </c>
      <c r="H30" t="s">
        <v>1</v>
      </c>
      <c r="I30" t="s">
        <v>15</v>
      </c>
      <c r="J30" t="s">
        <v>1</v>
      </c>
      <c r="K30" t="s">
        <v>15</v>
      </c>
      <c r="L30" t="s">
        <v>1</v>
      </c>
      <c r="M30" t="s">
        <v>15</v>
      </c>
      <c r="N30" t="s">
        <v>1</v>
      </c>
      <c r="O30" t="s">
        <v>15</v>
      </c>
      <c r="P30" t="s">
        <v>1</v>
      </c>
      <c r="Q30" t="s">
        <v>15</v>
      </c>
      <c r="R30" t="s">
        <v>1</v>
      </c>
      <c r="S30" t="s">
        <v>125</v>
      </c>
      <c r="T30" t="s">
        <v>1</v>
      </c>
      <c r="U30" t="s">
        <v>131</v>
      </c>
      <c r="W30" t="s">
        <v>17</v>
      </c>
      <c r="Y30" t="s">
        <v>75</v>
      </c>
    </row>
    <row r="31" spans="1:25" x14ac:dyDescent="0.45">
      <c r="A31">
        <v>10029</v>
      </c>
      <c r="B31" t="s">
        <v>1</v>
      </c>
      <c r="C31" t="s">
        <v>126</v>
      </c>
      <c r="D31" t="s">
        <v>1</v>
      </c>
      <c r="E31">
        <f t="shared" si="6"/>
        <v>21</v>
      </c>
      <c r="F31" t="s">
        <v>1</v>
      </c>
      <c r="G31" t="s">
        <v>14</v>
      </c>
      <c r="H31" t="s">
        <v>1</v>
      </c>
      <c r="I31">
        <v>0</v>
      </c>
      <c r="J31" t="s">
        <v>1</v>
      </c>
      <c r="K31">
        <v>2</v>
      </c>
      <c r="L31" t="s">
        <v>1</v>
      </c>
      <c r="M31" t="s">
        <v>15</v>
      </c>
      <c r="N31" t="s">
        <v>1</v>
      </c>
      <c r="O31" t="s">
        <v>15</v>
      </c>
      <c r="P31" t="s">
        <v>1</v>
      </c>
      <c r="Q31" t="s">
        <v>15</v>
      </c>
      <c r="R31" t="s">
        <v>1</v>
      </c>
      <c r="S31" t="s">
        <v>126</v>
      </c>
      <c r="T31" t="s">
        <v>1</v>
      </c>
      <c r="U31" t="s">
        <v>132</v>
      </c>
      <c r="W31" t="s">
        <v>20</v>
      </c>
      <c r="Y31" t="s">
        <v>75</v>
      </c>
    </row>
    <row r="32" spans="1:25" x14ac:dyDescent="0.45">
      <c r="A32">
        <v>10030</v>
      </c>
      <c r="B32" t="s">
        <v>1</v>
      </c>
      <c r="C32" t="s">
        <v>127</v>
      </c>
      <c r="D32" t="s">
        <v>1</v>
      </c>
      <c r="E32">
        <f t="shared" si="6"/>
        <v>29</v>
      </c>
      <c r="F32" t="s">
        <v>1</v>
      </c>
      <c r="G32" t="s">
        <v>25</v>
      </c>
      <c r="H32" t="s">
        <v>1</v>
      </c>
      <c r="I32">
        <v>-70</v>
      </c>
      <c r="J32" t="s">
        <v>1</v>
      </c>
      <c r="K32">
        <v>0</v>
      </c>
      <c r="L32" t="s">
        <v>1</v>
      </c>
      <c r="M32">
        <v>-60</v>
      </c>
      <c r="N32" t="s">
        <v>1</v>
      </c>
      <c r="O32">
        <v>-50</v>
      </c>
      <c r="P32" t="s">
        <v>1</v>
      </c>
      <c r="Q32">
        <v>-40</v>
      </c>
      <c r="R32" t="s">
        <v>1</v>
      </c>
      <c r="S32" t="s">
        <v>127</v>
      </c>
      <c r="T32" t="s">
        <v>1</v>
      </c>
      <c r="U32" t="s">
        <v>133</v>
      </c>
      <c r="W32" t="s">
        <v>24</v>
      </c>
      <c r="Y32" t="s">
        <v>75</v>
      </c>
    </row>
    <row r="33" spans="1:25" x14ac:dyDescent="0.45">
      <c r="A33">
        <v>10031</v>
      </c>
      <c r="B33" t="s">
        <v>1</v>
      </c>
      <c r="C33" t="s">
        <v>101</v>
      </c>
      <c r="D33" t="s">
        <v>1</v>
      </c>
      <c r="E33">
        <f t="shared" ref="E33" si="7">LEN(C33)</f>
        <v>19</v>
      </c>
      <c r="F33" t="s">
        <v>1</v>
      </c>
      <c r="G33" t="s">
        <v>14</v>
      </c>
      <c r="H33" t="s">
        <v>1</v>
      </c>
      <c r="I33">
        <v>0</v>
      </c>
      <c r="J33" t="s">
        <v>1</v>
      </c>
      <c r="K33">
        <v>2</v>
      </c>
      <c r="L33" t="s">
        <v>1</v>
      </c>
      <c r="M33" t="s">
        <v>15</v>
      </c>
      <c r="N33" t="s">
        <v>1</v>
      </c>
      <c r="O33" t="s">
        <v>15</v>
      </c>
      <c r="P33" t="s">
        <v>1</v>
      </c>
      <c r="Q33" t="s">
        <v>15</v>
      </c>
      <c r="R33" t="s">
        <v>1</v>
      </c>
      <c r="S33" t="s">
        <v>137</v>
      </c>
      <c r="T33" t="s">
        <v>1</v>
      </c>
      <c r="U33" t="s">
        <v>83</v>
      </c>
      <c r="W33" t="s">
        <v>17</v>
      </c>
      <c r="Y33" t="s">
        <v>76</v>
      </c>
    </row>
    <row r="34" spans="1:25" x14ac:dyDescent="0.45">
      <c r="A34">
        <v>10032</v>
      </c>
      <c r="B34" t="s">
        <v>1</v>
      </c>
      <c r="C34" t="s">
        <v>102</v>
      </c>
      <c r="D34" t="s">
        <v>1</v>
      </c>
      <c r="E34">
        <f t="shared" si="6"/>
        <v>19</v>
      </c>
      <c r="F34" t="s">
        <v>1</v>
      </c>
      <c r="G34" t="s">
        <v>14</v>
      </c>
      <c r="H34" t="s">
        <v>1</v>
      </c>
      <c r="I34" t="s">
        <v>15</v>
      </c>
      <c r="J34" t="s">
        <v>1</v>
      </c>
      <c r="K34" t="s">
        <v>15</v>
      </c>
      <c r="L34" t="s">
        <v>1</v>
      </c>
      <c r="M34" t="s">
        <v>15</v>
      </c>
      <c r="N34" t="s">
        <v>1</v>
      </c>
      <c r="O34" t="s">
        <v>15</v>
      </c>
      <c r="P34" t="s">
        <v>1</v>
      </c>
      <c r="Q34" t="s">
        <v>15</v>
      </c>
      <c r="R34" t="s">
        <v>1</v>
      </c>
      <c r="S34" t="s">
        <v>138</v>
      </c>
      <c r="T34" t="s">
        <v>1</v>
      </c>
      <c r="U34" t="s">
        <v>84</v>
      </c>
      <c r="W34" t="s">
        <v>20</v>
      </c>
      <c r="Y34" t="s">
        <v>77</v>
      </c>
    </row>
    <row r="35" spans="1:25" x14ac:dyDescent="0.45">
      <c r="A35">
        <v>10033</v>
      </c>
      <c r="B35" t="s">
        <v>1</v>
      </c>
      <c r="C35" t="s">
        <v>103</v>
      </c>
      <c r="D35" t="s">
        <v>1</v>
      </c>
      <c r="E35">
        <f t="shared" si="6"/>
        <v>27</v>
      </c>
      <c r="F35" t="s">
        <v>1</v>
      </c>
      <c r="G35" t="s">
        <v>25</v>
      </c>
      <c r="H35" t="s">
        <v>1</v>
      </c>
      <c r="I35">
        <v>-70</v>
      </c>
      <c r="J35" t="s">
        <v>1</v>
      </c>
      <c r="K35">
        <v>0</v>
      </c>
      <c r="L35" t="s">
        <v>1</v>
      </c>
      <c r="M35">
        <v>-60</v>
      </c>
      <c r="N35" t="s">
        <v>1</v>
      </c>
      <c r="O35">
        <v>-50</v>
      </c>
      <c r="P35" t="s">
        <v>1</v>
      </c>
      <c r="Q35">
        <v>-40</v>
      </c>
      <c r="R35" t="s">
        <v>1</v>
      </c>
      <c r="S35" t="s">
        <v>139</v>
      </c>
      <c r="T35" t="s">
        <v>1</v>
      </c>
      <c r="U35" t="s">
        <v>85</v>
      </c>
      <c r="W35" t="s">
        <v>24</v>
      </c>
      <c r="Y35" t="s">
        <v>78</v>
      </c>
    </row>
    <row r="36" spans="1:25" x14ac:dyDescent="0.45">
      <c r="A36">
        <v>10034</v>
      </c>
      <c r="B36" t="s">
        <v>1</v>
      </c>
      <c r="C36" t="s">
        <v>134</v>
      </c>
      <c r="D36" t="s">
        <v>1</v>
      </c>
      <c r="E36">
        <f t="shared" si="6"/>
        <v>19</v>
      </c>
      <c r="F36" t="s">
        <v>1</v>
      </c>
      <c r="G36" t="s">
        <v>14</v>
      </c>
      <c r="H36" t="s">
        <v>1</v>
      </c>
      <c r="I36">
        <v>0</v>
      </c>
      <c r="J36" t="s">
        <v>1</v>
      </c>
      <c r="K36">
        <v>2</v>
      </c>
      <c r="L36" t="s">
        <v>1</v>
      </c>
      <c r="M36" t="s">
        <v>15</v>
      </c>
      <c r="N36" t="s">
        <v>1</v>
      </c>
      <c r="O36" t="s">
        <v>15</v>
      </c>
      <c r="P36" t="s">
        <v>1</v>
      </c>
      <c r="Q36" t="s">
        <v>15</v>
      </c>
      <c r="R36" t="s">
        <v>1</v>
      </c>
      <c r="S36" t="s">
        <v>134</v>
      </c>
      <c r="T36" t="s">
        <v>1</v>
      </c>
      <c r="U36" t="s">
        <v>140</v>
      </c>
      <c r="W36" t="s">
        <v>17</v>
      </c>
      <c r="Y36" t="s">
        <v>76</v>
      </c>
    </row>
    <row r="37" spans="1:25" x14ac:dyDescent="0.45">
      <c r="A37">
        <v>10035</v>
      </c>
      <c r="B37" t="s">
        <v>1</v>
      </c>
      <c r="C37" t="s">
        <v>135</v>
      </c>
      <c r="D37" t="s">
        <v>1</v>
      </c>
      <c r="E37">
        <f t="shared" ref="E37:E38" si="8">LEN(C37)</f>
        <v>19</v>
      </c>
      <c r="F37" t="s">
        <v>1</v>
      </c>
      <c r="G37" t="s">
        <v>14</v>
      </c>
      <c r="H37" t="s">
        <v>1</v>
      </c>
      <c r="I37" t="s">
        <v>15</v>
      </c>
      <c r="J37" t="s">
        <v>1</v>
      </c>
      <c r="K37" t="s">
        <v>15</v>
      </c>
      <c r="L37" t="s">
        <v>1</v>
      </c>
      <c r="M37" t="s">
        <v>15</v>
      </c>
      <c r="N37" t="s">
        <v>1</v>
      </c>
      <c r="O37" t="s">
        <v>15</v>
      </c>
      <c r="P37" t="s">
        <v>1</v>
      </c>
      <c r="Q37" t="s">
        <v>15</v>
      </c>
      <c r="R37" t="s">
        <v>1</v>
      </c>
      <c r="S37" t="s">
        <v>135</v>
      </c>
      <c r="T37" t="s">
        <v>1</v>
      </c>
      <c r="U37" t="s">
        <v>141</v>
      </c>
      <c r="W37" t="s">
        <v>20</v>
      </c>
      <c r="Y37" t="s">
        <v>77</v>
      </c>
    </row>
    <row r="38" spans="1:25" x14ac:dyDescent="0.45">
      <c r="A38">
        <v>10036</v>
      </c>
      <c r="B38" t="s">
        <v>1</v>
      </c>
      <c r="C38" t="s">
        <v>136</v>
      </c>
      <c r="D38" t="s">
        <v>1</v>
      </c>
      <c r="E38">
        <f t="shared" si="8"/>
        <v>27</v>
      </c>
      <c r="F38" t="s">
        <v>1</v>
      </c>
      <c r="G38" t="s">
        <v>25</v>
      </c>
      <c r="H38" t="s">
        <v>1</v>
      </c>
      <c r="I38">
        <v>-70</v>
      </c>
      <c r="J38" t="s">
        <v>1</v>
      </c>
      <c r="K38">
        <v>0</v>
      </c>
      <c r="L38" t="s">
        <v>1</v>
      </c>
      <c r="M38">
        <v>-60</v>
      </c>
      <c r="N38" t="s">
        <v>1</v>
      </c>
      <c r="O38">
        <v>-50</v>
      </c>
      <c r="P38" t="s">
        <v>1</v>
      </c>
      <c r="Q38">
        <v>-40</v>
      </c>
      <c r="R38" t="s">
        <v>1</v>
      </c>
      <c r="S38" t="s">
        <v>136</v>
      </c>
      <c r="T38" t="s">
        <v>1</v>
      </c>
      <c r="U38" t="s">
        <v>142</v>
      </c>
      <c r="W38" t="s">
        <v>24</v>
      </c>
      <c r="Y38" t="s">
        <v>78</v>
      </c>
    </row>
    <row r="39" spans="1:25" x14ac:dyDescent="0.45">
      <c r="A39">
        <v>10037</v>
      </c>
      <c r="B39" t="s">
        <v>1</v>
      </c>
      <c r="C39" t="s">
        <v>207</v>
      </c>
      <c r="D39" t="s">
        <v>1</v>
      </c>
      <c r="E39">
        <f t="shared" si="6"/>
        <v>21</v>
      </c>
      <c r="F39" t="s">
        <v>1</v>
      </c>
      <c r="G39" t="s">
        <v>14</v>
      </c>
      <c r="H39" t="s">
        <v>1</v>
      </c>
      <c r="I39" t="s">
        <v>15</v>
      </c>
      <c r="J39" t="s">
        <v>1</v>
      </c>
      <c r="K39" t="s">
        <v>15</v>
      </c>
      <c r="L39" t="s">
        <v>1</v>
      </c>
      <c r="M39" t="s">
        <v>15</v>
      </c>
      <c r="N39" t="s">
        <v>1</v>
      </c>
      <c r="O39" t="s">
        <v>15</v>
      </c>
      <c r="P39" t="s">
        <v>1</v>
      </c>
      <c r="Q39" t="s">
        <v>15</v>
      </c>
      <c r="R39" t="s">
        <v>1</v>
      </c>
      <c r="S39" t="s">
        <v>213</v>
      </c>
      <c r="T39" t="s">
        <v>1</v>
      </c>
      <c r="U39" t="s">
        <v>217</v>
      </c>
      <c r="W39" t="s">
        <v>17</v>
      </c>
      <c r="Y39" t="s">
        <v>79</v>
      </c>
    </row>
    <row r="40" spans="1:25" x14ac:dyDescent="0.45">
      <c r="A40">
        <v>10038</v>
      </c>
      <c r="B40" t="s">
        <v>1</v>
      </c>
      <c r="C40" t="s">
        <v>208</v>
      </c>
      <c r="D40" t="s">
        <v>1</v>
      </c>
      <c r="E40">
        <f t="shared" si="6"/>
        <v>21</v>
      </c>
      <c r="F40" t="s">
        <v>1</v>
      </c>
      <c r="G40" t="s">
        <v>14</v>
      </c>
      <c r="H40" t="s">
        <v>1</v>
      </c>
      <c r="I40">
        <v>0</v>
      </c>
      <c r="J40" t="s">
        <v>1</v>
      </c>
      <c r="K40">
        <v>2</v>
      </c>
      <c r="L40" t="s">
        <v>1</v>
      </c>
      <c r="M40" t="s">
        <v>15</v>
      </c>
      <c r="N40" t="s">
        <v>1</v>
      </c>
      <c r="O40" t="s">
        <v>15</v>
      </c>
      <c r="P40" t="s">
        <v>1</v>
      </c>
      <c r="Q40" t="s">
        <v>15</v>
      </c>
      <c r="R40" t="s">
        <v>1</v>
      </c>
      <c r="S40" t="s">
        <v>214</v>
      </c>
      <c r="T40" t="s">
        <v>1</v>
      </c>
      <c r="U40" t="s">
        <v>218</v>
      </c>
      <c r="W40" t="s">
        <v>20</v>
      </c>
      <c r="Y40" t="s">
        <v>80</v>
      </c>
    </row>
    <row r="41" spans="1:25" x14ac:dyDescent="0.45">
      <c r="A41">
        <v>10039</v>
      </c>
      <c r="B41" t="s">
        <v>1</v>
      </c>
      <c r="C41" t="s">
        <v>209</v>
      </c>
      <c r="D41" t="s">
        <v>1</v>
      </c>
      <c r="E41">
        <f t="shared" si="6"/>
        <v>29</v>
      </c>
      <c r="F41" t="s">
        <v>1</v>
      </c>
      <c r="G41" t="s">
        <v>25</v>
      </c>
      <c r="H41" t="s">
        <v>1</v>
      </c>
      <c r="I41">
        <v>-70</v>
      </c>
      <c r="J41" t="s">
        <v>1</v>
      </c>
      <c r="K41">
        <v>0</v>
      </c>
      <c r="L41" t="s">
        <v>1</v>
      </c>
      <c r="M41">
        <v>-60</v>
      </c>
      <c r="N41" t="s">
        <v>1</v>
      </c>
      <c r="O41">
        <v>-50</v>
      </c>
      <c r="P41" t="s">
        <v>1</v>
      </c>
      <c r="Q41">
        <v>-40</v>
      </c>
      <c r="R41" t="s">
        <v>1</v>
      </c>
      <c r="S41" t="s">
        <v>215</v>
      </c>
      <c r="T41" t="s">
        <v>1</v>
      </c>
      <c r="U41" t="s">
        <v>219</v>
      </c>
      <c r="W41" t="s">
        <v>24</v>
      </c>
      <c r="Y41" t="s">
        <v>80</v>
      </c>
    </row>
    <row r="42" spans="1:25" x14ac:dyDescent="0.45">
      <c r="A42">
        <v>10040</v>
      </c>
      <c r="B42" t="s">
        <v>1</v>
      </c>
      <c r="C42" t="s">
        <v>210</v>
      </c>
      <c r="D42" t="s">
        <v>1</v>
      </c>
      <c r="E42">
        <f t="shared" ref="E42:E44" si="9">LEN(C42)</f>
        <v>21</v>
      </c>
      <c r="F42" t="s">
        <v>1</v>
      </c>
      <c r="G42" t="s">
        <v>14</v>
      </c>
      <c r="H42" t="s">
        <v>1</v>
      </c>
      <c r="I42" t="s">
        <v>15</v>
      </c>
      <c r="J42" t="s">
        <v>1</v>
      </c>
      <c r="K42" t="s">
        <v>15</v>
      </c>
      <c r="L42" t="s">
        <v>1</v>
      </c>
      <c r="M42" t="s">
        <v>15</v>
      </c>
      <c r="N42" t="s">
        <v>1</v>
      </c>
      <c r="O42" t="s">
        <v>15</v>
      </c>
      <c r="P42" t="s">
        <v>1</v>
      </c>
      <c r="Q42" t="s">
        <v>15</v>
      </c>
      <c r="R42" t="s">
        <v>1</v>
      </c>
      <c r="S42" t="s">
        <v>210</v>
      </c>
      <c r="T42" t="s">
        <v>1</v>
      </c>
      <c r="U42" t="s">
        <v>220</v>
      </c>
      <c r="W42" t="s">
        <v>17</v>
      </c>
      <c r="Y42" t="s">
        <v>79</v>
      </c>
    </row>
    <row r="43" spans="1:25" x14ac:dyDescent="0.45">
      <c r="A43">
        <v>10041</v>
      </c>
      <c r="B43" t="s">
        <v>1</v>
      </c>
      <c r="C43" t="s">
        <v>211</v>
      </c>
      <c r="D43" t="s">
        <v>1</v>
      </c>
      <c r="E43">
        <f t="shared" si="9"/>
        <v>21</v>
      </c>
      <c r="F43" t="s">
        <v>1</v>
      </c>
      <c r="G43" t="s">
        <v>14</v>
      </c>
      <c r="H43" t="s">
        <v>1</v>
      </c>
      <c r="I43">
        <v>0</v>
      </c>
      <c r="J43" t="s">
        <v>1</v>
      </c>
      <c r="K43">
        <v>2</v>
      </c>
      <c r="L43" t="s">
        <v>1</v>
      </c>
      <c r="M43" t="s">
        <v>15</v>
      </c>
      <c r="N43" t="s">
        <v>1</v>
      </c>
      <c r="O43" t="s">
        <v>15</v>
      </c>
      <c r="P43" t="s">
        <v>1</v>
      </c>
      <c r="Q43" t="s">
        <v>15</v>
      </c>
      <c r="R43" t="s">
        <v>1</v>
      </c>
      <c r="S43" t="s">
        <v>211</v>
      </c>
      <c r="T43" t="s">
        <v>1</v>
      </c>
      <c r="U43" t="s">
        <v>221</v>
      </c>
      <c r="W43" t="s">
        <v>20</v>
      </c>
      <c r="Y43" t="s">
        <v>80</v>
      </c>
    </row>
    <row r="44" spans="1:25" x14ac:dyDescent="0.45">
      <c r="A44">
        <v>10042</v>
      </c>
      <c r="B44" t="s">
        <v>1</v>
      </c>
      <c r="C44" t="s">
        <v>212</v>
      </c>
      <c r="D44" t="s">
        <v>1</v>
      </c>
      <c r="E44">
        <f t="shared" si="9"/>
        <v>29</v>
      </c>
      <c r="F44" t="s">
        <v>1</v>
      </c>
      <c r="G44" t="s">
        <v>25</v>
      </c>
      <c r="H44" t="s">
        <v>1</v>
      </c>
      <c r="I44">
        <v>-70</v>
      </c>
      <c r="J44" t="s">
        <v>1</v>
      </c>
      <c r="K44">
        <v>0</v>
      </c>
      <c r="L44" t="s">
        <v>1</v>
      </c>
      <c r="M44">
        <v>-60</v>
      </c>
      <c r="N44" t="s">
        <v>1</v>
      </c>
      <c r="O44">
        <v>-50</v>
      </c>
      <c r="P44" t="s">
        <v>1</v>
      </c>
      <c r="Q44">
        <v>-40</v>
      </c>
      <c r="R44" t="s">
        <v>1</v>
      </c>
      <c r="S44" t="s">
        <v>216</v>
      </c>
      <c r="T44" t="s">
        <v>1</v>
      </c>
      <c r="U44" t="s">
        <v>222</v>
      </c>
      <c r="W44" t="s">
        <v>24</v>
      </c>
      <c r="Y44" t="s">
        <v>80</v>
      </c>
    </row>
    <row r="45" spans="1:25" x14ac:dyDescent="0.45">
      <c r="A45">
        <v>10043</v>
      </c>
      <c r="B45" t="s">
        <v>1</v>
      </c>
      <c r="C45" t="s">
        <v>98</v>
      </c>
      <c r="D45" t="s">
        <v>1</v>
      </c>
      <c r="E45">
        <f t="shared" si="6"/>
        <v>20</v>
      </c>
      <c r="F45" t="s">
        <v>1</v>
      </c>
      <c r="G45" t="s">
        <v>14</v>
      </c>
      <c r="H45" t="s">
        <v>1</v>
      </c>
      <c r="I45" t="s">
        <v>15</v>
      </c>
      <c r="J45" t="s">
        <v>1</v>
      </c>
      <c r="K45" t="s">
        <v>15</v>
      </c>
      <c r="L45" t="s">
        <v>1</v>
      </c>
      <c r="M45" t="s">
        <v>15</v>
      </c>
      <c r="N45" t="s">
        <v>1</v>
      </c>
      <c r="O45" t="s">
        <v>15</v>
      </c>
      <c r="P45" t="s">
        <v>1</v>
      </c>
      <c r="Q45" t="s">
        <v>15</v>
      </c>
      <c r="R45" t="s">
        <v>1</v>
      </c>
      <c r="S45" t="s">
        <v>146</v>
      </c>
      <c r="T45" t="s">
        <v>1</v>
      </c>
      <c r="U45" t="s">
        <v>86</v>
      </c>
      <c r="W45" t="s">
        <v>17</v>
      </c>
      <c r="Y45" t="s">
        <v>81</v>
      </c>
    </row>
    <row r="46" spans="1:25" x14ac:dyDescent="0.45">
      <c r="A46">
        <v>10044</v>
      </c>
      <c r="B46" t="s">
        <v>1</v>
      </c>
      <c r="C46" t="s">
        <v>99</v>
      </c>
      <c r="D46" t="s">
        <v>1</v>
      </c>
      <c r="E46">
        <f t="shared" si="6"/>
        <v>20</v>
      </c>
      <c r="F46" t="s">
        <v>1</v>
      </c>
      <c r="G46" t="s">
        <v>14</v>
      </c>
      <c r="H46" t="s">
        <v>1</v>
      </c>
      <c r="I46">
        <v>0</v>
      </c>
      <c r="J46" t="s">
        <v>1</v>
      </c>
      <c r="K46">
        <v>2</v>
      </c>
      <c r="L46" t="s">
        <v>1</v>
      </c>
      <c r="M46" t="s">
        <v>15</v>
      </c>
      <c r="N46" t="s">
        <v>1</v>
      </c>
      <c r="O46" t="s">
        <v>15</v>
      </c>
      <c r="P46" t="s">
        <v>1</v>
      </c>
      <c r="Q46" t="s">
        <v>15</v>
      </c>
      <c r="R46" t="s">
        <v>1</v>
      </c>
      <c r="S46" t="s">
        <v>147</v>
      </c>
      <c r="T46" t="s">
        <v>1</v>
      </c>
      <c r="U46" t="s">
        <v>87</v>
      </c>
      <c r="W46" t="s">
        <v>20</v>
      </c>
      <c r="Y46" t="s">
        <v>82</v>
      </c>
    </row>
    <row r="47" spans="1:25" x14ac:dyDescent="0.45">
      <c r="A47">
        <v>10045</v>
      </c>
      <c r="B47" t="s">
        <v>1</v>
      </c>
      <c r="C47" t="s">
        <v>100</v>
      </c>
      <c r="D47" t="s">
        <v>1</v>
      </c>
      <c r="E47">
        <f t="shared" si="6"/>
        <v>28</v>
      </c>
      <c r="F47" t="s">
        <v>1</v>
      </c>
      <c r="G47" t="s">
        <v>25</v>
      </c>
      <c r="H47" t="s">
        <v>1</v>
      </c>
      <c r="I47">
        <v>-70</v>
      </c>
      <c r="J47" t="s">
        <v>1</v>
      </c>
      <c r="K47">
        <v>0</v>
      </c>
      <c r="L47" t="s">
        <v>1</v>
      </c>
      <c r="M47">
        <v>-60</v>
      </c>
      <c r="N47" t="s">
        <v>1</v>
      </c>
      <c r="O47">
        <v>-50</v>
      </c>
      <c r="P47" t="s">
        <v>1</v>
      </c>
      <c r="Q47">
        <v>-40</v>
      </c>
      <c r="R47" t="s">
        <v>1</v>
      </c>
      <c r="S47" t="s">
        <v>148</v>
      </c>
      <c r="T47" t="s">
        <v>1</v>
      </c>
      <c r="U47" t="s">
        <v>88</v>
      </c>
      <c r="W47" t="s">
        <v>24</v>
      </c>
      <c r="Y47" t="s">
        <v>81</v>
      </c>
    </row>
    <row r="48" spans="1:25" x14ac:dyDescent="0.45">
      <c r="A48">
        <v>10046</v>
      </c>
      <c r="B48" t="s">
        <v>1</v>
      </c>
      <c r="C48" t="s">
        <v>143</v>
      </c>
      <c r="D48" t="s">
        <v>1</v>
      </c>
      <c r="E48">
        <f t="shared" ref="E48:E53" si="10">LEN(C48)</f>
        <v>20</v>
      </c>
      <c r="F48" t="s">
        <v>1</v>
      </c>
      <c r="G48" t="s">
        <v>14</v>
      </c>
      <c r="H48" t="s">
        <v>1</v>
      </c>
      <c r="I48" t="s">
        <v>15</v>
      </c>
      <c r="J48" t="s">
        <v>1</v>
      </c>
      <c r="K48" t="s">
        <v>15</v>
      </c>
      <c r="L48" t="s">
        <v>1</v>
      </c>
      <c r="M48" t="s">
        <v>15</v>
      </c>
      <c r="N48" t="s">
        <v>1</v>
      </c>
      <c r="O48" t="s">
        <v>15</v>
      </c>
      <c r="P48" t="s">
        <v>1</v>
      </c>
      <c r="Q48" t="s">
        <v>15</v>
      </c>
      <c r="R48" t="s">
        <v>1</v>
      </c>
      <c r="S48" t="s">
        <v>143</v>
      </c>
      <c r="T48" t="s">
        <v>1</v>
      </c>
      <c r="U48" t="s">
        <v>149</v>
      </c>
      <c r="W48" t="s">
        <v>17</v>
      </c>
      <c r="Y48" t="s">
        <v>81</v>
      </c>
    </row>
    <row r="49" spans="1:25" x14ac:dyDescent="0.45">
      <c r="A49">
        <v>10047</v>
      </c>
      <c r="B49" t="s">
        <v>1</v>
      </c>
      <c r="C49" t="s">
        <v>144</v>
      </c>
      <c r="D49" t="s">
        <v>1</v>
      </c>
      <c r="E49">
        <f t="shared" si="10"/>
        <v>20</v>
      </c>
      <c r="F49" t="s">
        <v>1</v>
      </c>
      <c r="G49" t="s">
        <v>14</v>
      </c>
      <c r="H49" t="s">
        <v>1</v>
      </c>
      <c r="I49">
        <v>0</v>
      </c>
      <c r="J49" t="s">
        <v>1</v>
      </c>
      <c r="K49">
        <v>2</v>
      </c>
      <c r="L49" t="s">
        <v>1</v>
      </c>
      <c r="M49" t="s">
        <v>15</v>
      </c>
      <c r="N49" t="s">
        <v>1</v>
      </c>
      <c r="O49" t="s">
        <v>15</v>
      </c>
      <c r="P49" t="s">
        <v>1</v>
      </c>
      <c r="Q49" t="s">
        <v>15</v>
      </c>
      <c r="R49" t="s">
        <v>1</v>
      </c>
      <c r="S49" t="s">
        <v>144</v>
      </c>
      <c r="T49" t="s">
        <v>1</v>
      </c>
      <c r="U49" t="s">
        <v>150</v>
      </c>
      <c r="W49" t="s">
        <v>20</v>
      </c>
      <c r="Y49" t="s">
        <v>82</v>
      </c>
    </row>
    <row r="50" spans="1:25" x14ac:dyDescent="0.45">
      <c r="A50">
        <v>10048</v>
      </c>
      <c r="B50" t="s">
        <v>1</v>
      </c>
      <c r="C50" t="s">
        <v>145</v>
      </c>
      <c r="D50" t="s">
        <v>1</v>
      </c>
      <c r="E50">
        <f t="shared" si="10"/>
        <v>28</v>
      </c>
      <c r="F50" t="s">
        <v>1</v>
      </c>
      <c r="G50" t="s">
        <v>25</v>
      </c>
      <c r="H50" t="s">
        <v>1</v>
      </c>
      <c r="I50">
        <v>-70</v>
      </c>
      <c r="J50" t="s">
        <v>1</v>
      </c>
      <c r="K50">
        <v>0</v>
      </c>
      <c r="L50" t="s">
        <v>1</v>
      </c>
      <c r="M50">
        <v>-60</v>
      </c>
      <c r="N50" t="s">
        <v>1</v>
      </c>
      <c r="O50">
        <v>-50</v>
      </c>
      <c r="P50" t="s">
        <v>1</v>
      </c>
      <c r="Q50">
        <v>-40</v>
      </c>
      <c r="R50" t="s">
        <v>1</v>
      </c>
      <c r="S50" t="s">
        <v>145</v>
      </c>
      <c r="T50" t="s">
        <v>1</v>
      </c>
      <c r="U50" t="s">
        <v>151</v>
      </c>
      <c r="W50" t="s">
        <v>24</v>
      </c>
      <c r="Y50" t="s">
        <v>81</v>
      </c>
    </row>
    <row r="51" spans="1:25" x14ac:dyDescent="0.45">
      <c r="A51">
        <v>10049</v>
      </c>
      <c r="B51" t="s">
        <v>1</v>
      </c>
      <c r="C51" t="s">
        <v>157</v>
      </c>
      <c r="D51" t="s">
        <v>1</v>
      </c>
      <c r="E51">
        <f t="shared" si="10"/>
        <v>21</v>
      </c>
      <c r="F51" t="s">
        <v>1</v>
      </c>
      <c r="G51" t="s">
        <v>14</v>
      </c>
      <c r="H51" t="s">
        <v>1</v>
      </c>
      <c r="I51" t="s">
        <v>15</v>
      </c>
      <c r="J51" t="s">
        <v>1</v>
      </c>
      <c r="K51" t="s">
        <v>15</v>
      </c>
      <c r="L51" t="s">
        <v>1</v>
      </c>
      <c r="M51" t="s">
        <v>15</v>
      </c>
      <c r="N51" t="s">
        <v>1</v>
      </c>
      <c r="O51" t="s">
        <v>15</v>
      </c>
      <c r="P51" t="s">
        <v>1</v>
      </c>
      <c r="Q51" t="s">
        <v>15</v>
      </c>
      <c r="R51" t="s">
        <v>1</v>
      </c>
      <c r="S51" t="s">
        <v>181</v>
      </c>
      <c r="T51" t="s">
        <v>1</v>
      </c>
      <c r="U51" t="s">
        <v>169</v>
      </c>
      <c r="W51" t="s">
        <v>17</v>
      </c>
      <c r="Y51" t="s">
        <v>155</v>
      </c>
    </row>
    <row r="52" spans="1:25" x14ac:dyDescent="0.45">
      <c r="A52">
        <v>10050</v>
      </c>
      <c r="B52" t="s">
        <v>1</v>
      </c>
      <c r="C52" t="s">
        <v>158</v>
      </c>
      <c r="D52" t="s">
        <v>1</v>
      </c>
      <c r="E52">
        <f t="shared" si="10"/>
        <v>21</v>
      </c>
      <c r="F52" t="s">
        <v>1</v>
      </c>
      <c r="G52" t="s">
        <v>14</v>
      </c>
      <c r="H52" t="s">
        <v>1</v>
      </c>
      <c r="I52">
        <v>0</v>
      </c>
      <c r="J52" t="s">
        <v>1</v>
      </c>
      <c r="K52">
        <v>2</v>
      </c>
      <c r="L52" t="s">
        <v>1</v>
      </c>
      <c r="M52" t="s">
        <v>15</v>
      </c>
      <c r="N52" t="s">
        <v>1</v>
      </c>
      <c r="O52" t="s">
        <v>15</v>
      </c>
      <c r="P52" t="s">
        <v>1</v>
      </c>
      <c r="Q52" t="s">
        <v>15</v>
      </c>
      <c r="R52" t="s">
        <v>1</v>
      </c>
      <c r="S52" t="s">
        <v>182</v>
      </c>
      <c r="T52" t="s">
        <v>1</v>
      </c>
      <c r="U52" t="s">
        <v>170</v>
      </c>
      <c r="W52" t="s">
        <v>20</v>
      </c>
      <c r="Y52" t="s">
        <v>155</v>
      </c>
    </row>
    <row r="53" spans="1:25" x14ac:dyDescent="0.45">
      <c r="A53">
        <v>10051</v>
      </c>
      <c r="B53" t="s">
        <v>1</v>
      </c>
      <c r="C53" t="s">
        <v>159</v>
      </c>
      <c r="D53" t="s">
        <v>1</v>
      </c>
      <c r="E53">
        <f t="shared" si="10"/>
        <v>29</v>
      </c>
      <c r="F53" t="s">
        <v>1</v>
      </c>
      <c r="G53" t="s">
        <v>25</v>
      </c>
      <c r="H53" t="s">
        <v>1</v>
      </c>
      <c r="I53">
        <v>-70</v>
      </c>
      <c r="J53" t="s">
        <v>1</v>
      </c>
      <c r="K53">
        <v>0</v>
      </c>
      <c r="L53" t="s">
        <v>1</v>
      </c>
      <c r="M53">
        <v>-60</v>
      </c>
      <c r="N53" t="s">
        <v>1</v>
      </c>
      <c r="O53">
        <v>-50</v>
      </c>
      <c r="P53" t="s">
        <v>1</v>
      </c>
      <c r="Q53">
        <v>-40</v>
      </c>
      <c r="R53" t="s">
        <v>1</v>
      </c>
      <c r="S53" t="s">
        <v>183</v>
      </c>
      <c r="T53" t="s">
        <v>1</v>
      </c>
      <c r="U53" t="s">
        <v>171</v>
      </c>
      <c r="W53" t="s">
        <v>24</v>
      </c>
      <c r="Y53" t="s">
        <v>155</v>
      </c>
    </row>
    <row r="54" spans="1:25" x14ac:dyDescent="0.45">
      <c r="A54">
        <v>10052</v>
      </c>
      <c r="B54" t="s">
        <v>1</v>
      </c>
      <c r="C54" t="s">
        <v>160</v>
      </c>
      <c r="D54" t="s">
        <v>1</v>
      </c>
      <c r="E54">
        <f t="shared" ref="E54:E56" si="11">LEN(C54)</f>
        <v>21</v>
      </c>
      <c r="F54" t="s">
        <v>1</v>
      </c>
      <c r="G54" t="s">
        <v>14</v>
      </c>
      <c r="H54" t="s">
        <v>1</v>
      </c>
      <c r="I54" t="s">
        <v>15</v>
      </c>
      <c r="J54" t="s">
        <v>1</v>
      </c>
      <c r="K54" t="s">
        <v>15</v>
      </c>
      <c r="L54" t="s">
        <v>1</v>
      </c>
      <c r="M54" t="s">
        <v>15</v>
      </c>
      <c r="N54" t="s">
        <v>1</v>
      </c>
      <c r="O54" t="s">
        <v>15</v>
      </c>
      <c r="P54" t="s">
        <v>1</v>
      </c>
      <c r="Q54" t="s">
        <v>15</v>
      </c>
      <c r="R54" t="s">
        <v>1</v>
      </c>
      <c r="S54" t="s">
        <v>184</v>
      </c>
      <c r="T54" t="s">
        <v>1</v>
      </c>
      <c r="U54" t="s">
        <v>172</v>
      </c>
      <c r="W54" t="s">
        <v>17</v>
      </c>
      <c r="Y54" t="s">
        <v>155</v>
      </c>
    </row>
    <row r="55" spans="1:25" x14ac:dyDescent="0.45">
      <c r="A55">
        <v>10053</v>
      </c>
      <c r="B55" t="s">
        <v>1</v>
      </c>
      <c r="C55" t="s">
        <v>161</v>
      </c>
      <c r="D55" t="s">
        <v>1</v>
      </c>
      <c r="E55">
        <f t="shared" si="11"/>
        <v>21</v>
      </c>
      <c r="F55" t="s">
        <v>1</v>
      </c>
      <c r="G55" t="s">
        <v>14</v>
      </c>
      <c r="H55" t="s">
        <v>1</v>
      </c>
      <c r="I55">
        <v>0</v>
      </c>
      <c r="J55" t="s">
        <v>1</v>
      </c>
      <c r="K55">
        <v>2</v>
      </c>
      <c r="L55" t="s">
        <v>1</v>
      </c>
      <c r="M55" t="s">
        <v>15</v>
      </c>
      <c r="N55" t="s">
        <v>1</v>
      </c>
      <c r="O55" t="s">
        <v>15</v>
      </c>
      <c r="P55" t="s">
        <v>1</v>
      </c>
      <c r="Q55" t="s">
        <v>15</v>
      </c>
      <c r="R55" t="s">
        <v>1</v>
      </c>
      <c r="S55" t="s">
        <v>185</v>
      </c>
      <c r="T55" t="s">
        <v>1</v>
      </c>
      <c r="U55" t="s">
        <v>173</v>
      </c>
      <c r="W55" t="s">
        <v>20</v>
      </c>
      <c r="Y55" t="s">
        <v>155</v>
      </c>
    </row>
    <row r="56" spans="1:25" x14ac:dyDescent="0.45">
      <c r="A56">
        <v>10054</v>
      </c>
      <c r="B56" t="s">
        <v>1</v>
      </c>
      <c r="C56" t="s">
        <v>162</v>
      </c>
      <c r="D56" t="s">
        <v>1</v>
      </c>
      <c r="E56">
        <f t="shared" si="11"/>
        <v>29</v>
      </c>
      <c r="F56" t="s">
        <v>1</v>
      </c>
      <c r="G56" t="s">
        <v>25</v>
      </c>
      <c r="H56" t="s">
        <v>1</v>
      </c>
      <c r="I56">
        <v>-70</v>
      </c>
      <c r="J56" t="s">
        <v>1</v>
      </c>
      <c r="K56">
        <v>0</v>
      </c>
      <c r="L56" t="s">
        <v>1</v>
      </c>
      <c r="M56">
        <v>-60</v>
      </c>
      <c r="N56" t="s">
        <v>1</v>
      </c>
      <c r="O56">
        <v>-50</v>
      </c>
      <c r="P56" t="s">
        <v>1</v>
      </c>
      <c r="Q56">
        <v>-40</v>
      </c>
      <c r="R56" t="s">
        <v>1</v>
      </c>
      <c r="S56" t="s">
        <v>186</v>
      </c>
      <c r="T56" t="s">
        <v>1</v>
      </c>
      <c r="U56" t="s">
        <v>174</v>
      </c>
      <c r="W56" t="s">
        <v>24</v>
      </c>
      <c r="Y56" t="s">
        <v>155</v>
      </c>
    </row>
    <row r="57" spans="1:25" x14ac:dyDescent="0.45">
      <c r="A57">
        <v>10055</v>
      </c>
      <c r="B57" t="s">
        <v>1</v>
      </c>
      <c r="C57" t="s">
        <v>163</v>
      </c>
      <c r="D57" t="s">
        <v>1</v>
      </c>
      <c r="E57">
        <f t="shared" ref="E57:E59" si="12">LEN(C57)</f>
        <v>21</v>
      </c>
      <c r="F57" t="s">
        <v>1</v>
      </c>
      <c r="G57" t="s">
        <v>14</v>
      </c>
      <c r="H57" t="s">
        <v>1</v>
      </c>
      <c r="I57" t="s">
        <v>15</v>
      </c>
      <c r="J57" t="s">
        <v>1</v>
      </c>
      <c r="K57" t="s">
        <v>15</v>
      </c>
      <c r="L57" t="s">
        <v>1</v>
      </c>
      <c r="M57" t="s">
        <v>15</v>
      </c>
      <c r="N57" t="s">
        <v>1</v>
      </c>
      <c r="O57" t="s">
        <v>15</v>
      </c>
      <c r="P57" t="s">
        <v>1</v>
      </c>
      <c r="Q57" t="s">
        <v>15</v>
      </c>
      <c r="R57" t="s">
        <v>1</v>
      </c>
      <c r="S57" t="s">
        <v>187</v>
      </c>
      <c r="T57" t="s">
        <v>1</v>
      </c>
      <c r="U57" t="s">
        <v>175</v>
      </c>
      <c r="W57" t="s">
        <v>17</v>
      </c>
      <c r="Y57" t="s">
        <v>155</v>
      </c>
    </row>
    <row r="58" spans="1:25" x14ac:dyDescent="0.45">
      <c r="A58">
        <v>10056</v>
      </c>
      <c r="B58" t="s">
        <v>1</v>
      </c>
      <c r="C58" t="s">
        <v>164</v>
      </c>
      <c r="D58" t="s">
        <v>1</v>
      </c>
      <c r="E58">
        <f t="shared" si="12"/>
        <v>21</v>
      </c>
      <c r="F58" t="s">
        <v>1</v>
      </c>
      <c r="G58" t="s">
        <v>14</v>
      </c>
      <c r="H58" t="s">
        <v>1</v>
      </c>
      <c r="I58">
        <v>0</v>
      </c>
      <c r="J58" t="s">
        <v>1</v>
      </c>
      <c r="K58">
        <v>2</v>
      </c>
      <c r="L58" t="s">
        <v>1</v>
      </c>
      <c r="M58" t="s">
        <v>15</v>
      </c>
      <c r="N58" t="s">
        <v>1</v>
      </c>
      <c r="O58" t="s">
        <v>15</v>
      </c>
      <c r="P58" t="s">
        <v>1</v>
      </c>
      <c r="Q58" t="s">
        <v>15</v>
      </c>
      <c r="R58" t="s">
        <v>1</v>
      </c>
      <c r="S58" t="s">
        <v>188</v>
      </c>
      <c r="T58" t="s">
        <v>1</v>
      </c>
      <c r="U58" t="s">
        <v>176</v>
      </c>
      <c r="W58" t="s">
        <v>20</v>
      </c>
      <c r="Y58" t="s">
        <v>155</v>
      </c>
    </row>
    <row r="59" spans="1:25" x14ac:dyDescent="0.45">
      <c r="A59">
        <v>10057</v>
      </c>
      <c r="B59" t="s">
        <v>1</v>
      </c>
      <c r="C59" t="s">
        <v>165</v>
      </c>
      <c r="D59" t="s">
        <v>1</v>
      </c>
      <c r="E59">
        <f t="shared" si="12"/>
        <v>29</v>
      </c>
      <c r="F59" t="s">
        <v>1</v>
      </c>
      <c r="G59" t="s">
        <v>25</v>
      </c>
      <c r="H59" t="s">
        <v>1</v>
      </c>
      <c r="I59">
        <v>-70</v>
      </c>
      <c r="J59" t="s">
        <v>1</v>
      </c>
      <c r="K59">
        <v>0</v>
      </c>
      <c r="L59" t="s">
        <v>1</v>
      </c>
      <c r="M59">
        <v>-60</v>
      </c>
      <c r="N59" t="s">
        <v>1</v>
      </c>
      <c r="O59">
        <v>-50</v>
      </c>
      <c r="P59" t="s">
        <v>1</v>
      </c>
      <c r="Q59">
        <v>-40</v>
      </c>
      <c r="R59" t="s">
        <v>1</v>
      </c>
      <c r="S59" t="s">
        <v>189</v>
      </c>
      <c r="T59" t="s">
        <v>1</v>
      </c>
      <c r="U59" t="s">
        <v>177</v>
      </c>
      <c r="W59" t="s">
        <v>24</v>
      </c>
      <c r="Y59" t="s">
        <v>155</v>
      </c>
    </row>
    <row r="60" spans="1:25" x14ac:dyDescent="0.45">
      <c r="A60">
        <v>10058</v>
      </c>
      <c r="B60" t="s">
        <v>1</v>
      </c>
      <c r="C60" t="s">
        <v>166</v>
      </c>
      <c r="D60" t="s">
        <v>1</v>
      </c>
      <c r="E60">
        <f t="shared" ref="E60:E62" si="13">LEN(C60)</f>
        <v>21</v>
      </c>
      <c r="F60" t="s">
        <v>1</v>
      </c>
      <c r="G60" t="s">
        <v>14</v>
      </c>
      <c r="H60" t="s">
        <v>1</v>
      </c>
      <c r="I60" t="s">
        <v>15</v>
      </c>
      <c r="J60" t="s">
        <v>1</v>
      </c>
      <c r="K60" t="s">
        <v>15</v>
      </c>
      <c r="L60" t="s">
        <v>1</v>
      </c>
      <c r="M60" t="s">
        <v>15</v>
      </c>
      <c r="N60" t="s">
        <v>1</v>
      </c>
      <c r="O60" t="s">
        <v>15</v>
      </c>
      <c r="P60" t="s">
        <v>1</v>
      </c>
      <c r="Q60" t="s">
        <v>15</v>
      </c>
      <c r="R60" t="s">
        <v>1</v>
      </c>
      <c r="S60" t="s">
        <v>190</v>
      </c>
      <c r="T60" t="s">
        <v>1</v>
      </c>
      <c r="U60" t="s">
        <v>178</v>
      </c>
      <c r="W60" t="s">
        <v>17</v>
      </c>
      <c r="Y60" t="s">
        <v>155</v>
      </c>
    </row>
    <row r="61" spans="1:25" x14ac:dyDescent="0.45">
      <c r="A61">
        <v>10059</v>
      </c>
      <c r="B61" t="s">
        <v>1</v>
      </c>
      <c r="C61" t="s">
        <v>167</v>
      </c>
      <c r="D61" t="s">
        <v>1</v>
      </c>
      <c r="E61">
        <f t="shared" si="13"/>
        <v>21</v>
      </c>
      <c r="F61" t="s">
        <v>1</v>
      </c>
      <c r="G61" t="s">
        <v>14</v>
      </c>
      <c r="H61" t="s">
        <v>1</v>
      </c>
      <c r="I61">
        <v>0</v>
      </c>
      <c r="J61" t="s">
        <v>1</v>
      </c>
      <c r="K61">
        <v>2</v>
      </c>
      <c r="L61" t="s">
        <v>1</v>
      </c>
      <c r="M61" t="s">
        <v>15</v>
      </c>
      <c r="N61" t="s">
        <v>1</v>
      </c>
      <c r="O61" t="s">
        <v>15</v>
      </c>
      <c r="P61" t="s">
        <v>1</v>
      </c>
      <c r="Q61" t="s">
        <v>15</v>
      </c>
      <c r="R61" t="s">
        <v>1</v>
      </c>
      <c r="S61" t="s">
        <v>191</v>
      </c>
      <c r="T61" t="s">
        <v>1</v>
      </c>
      <c r="U61" t="s">
        <v>179</v>
      </c>
      <c r="W61" t="s">
        <v>20</v>
      </c>
      <c r="Y61" t="s">
        <v>155</v>
      </c>
    </row>
    <row r="62" spans="1:25" x14ac:dyDescent="0.45">
      <c r="A62">
        <v>10060</v>
      </c>
      <c r="B62" t="s">
        <v>1</v>
      </c>
      <c r="C62" t="s">
        <v>168</v>
      </c>
      <c r="D62" t="s">
        <v>1</v>
      </c>
      <c r="E62">
        <f t="shared" si="13"/>
        <v>29</v>
      </c>
      <c r="F62" t="s">
        <v>1</v>
      </c>
      <c r="G62" t="s">
        <v>25</v>
      </c>
      <c r="H62" t="s">
        <v>1</v>
      </c>
      <c r="I62">
        <v>-70</v>
      </c>
      <c r="J62" t="s">
        <v>1</v>
      </c>
      <c r="K62">
        <v>0</v>
      </c>
      <c r="L62" t="s">
        <v>1</v>
      </c>
      <c r="M62">
        <v>-60</v>
      </c>
      <c r="N62" t="s">
        <v>1</v>
      </c>
      <c r="O62">
        <v>-50</v>
      </c>
      <c r="P62" t="s">
        <v>1</v>
      </c>
      <c r="Q62">
        <v>-40</v>
      </c>
      <c r="R62" t="s">
        <v>1</v>
      </c>
      <c r="S62" t="s">
        <v>192</v>
      </c>
      <c r="T62" t="s">
        <v>1</v>
      </c>
      <c r="U62" t="s">
        <v>180</v>
      </c>
      <c r="W62" t="s">
        <v>24</v>
      </c>
      <c r="Y62" t="s">
        <v>155</v>
      </c>
    </row>
    <row r="63" spans="1:25" x14ac:dyDescent="0.45">
      <c r="A63">
        <v>10061</v>
      </c>
      <c r="B63" t="s">
        <v>1</v>
      </c>
      <c r="C63" t="s">
        <v>153</v>
      </c>
      <c r="D63" t="s">
        <v>1</v>
      </c>
      <c r="E63">
        <f t="shared" ref="E63:E69" si="14">LEN(C63)</f>
        <v>28</v>
      </c>
      <c r="F63" t="s">
        <v>1</v>
      </c>
      <c r="G63" t="s">
        <v>152</v>
      </c>
      <c r="H63" t="s">
        <v>1</v>
      </c>
      <c r="I63" t="s">
        <v>15</v>
      </c>
      <c r="J63" t="s">
        <v>1</v>
      </c>
      <c r="K63" t="s">
        <v>15</v>
      </c>
      <c r="L63" t="s">
        <v>1</v>
      </c>
      <c r="M63" t="s">
        <v>15</v>
      </c>
      <c r="N63" t="s">
        <v>1</v>
      </c>
      <c r="O63" t="s">
        <v>15</v>
      </c>
      <c r="P63" t="s">
        <v>1</v>
      </c>
      <c r="Q63" t="s">
        <v>15</v>
      </c>
      <c r="R63" t="s">
        <v>1</v>
      </c>
      <c r="S63" t="s">
        <v>153</v>
      </c>
      <c r="T63" t="s">
        <v>1</v>
      </c>
      <c r="U63" t="s">
        <v>154</v>
      </c>
      <c r="W63" t="s">
        <v>24</v>
      </c>
      <c r="Y63" t="s">
        <v>155</v>
      </c>
    </row>
    <row r="64" spans="1:25" x14ac:dyDescent="0.45">
      <c r="A64">
        <v>60000</v>
      </c>
      <c r="B64" t="s">
        <v>1</v>
      </c>
      <c r="C64" t="s">
        <v>223</v>
      </c>
      <c r="D64" t="s">
        <v>1</v>
      </c>
      <c r="E64">
        <f t="shared" si="14"/>
        <v>20</v>
      </c>
      <c r="F64" t="s">
        <v>1</v>
      </c>
      <c r="G64" t="s">
        <v>28</v>
      </c>
      <c r="H64" t="s">
        <v>1</v>
      </c>
      <c r="I64">
        <v>0</v>
      </c>
      <c r="J64" t="s">
        <v>1</v>
      </c>
      <c r="K64" t="s">
        <v>15</v>
      </c>
      <c r="L64" t="s">
        <v>1</v>
      </c>
      <c r="M64" t="s">
        <v>15</v>
      </c>
      <c r="N64" t="s">
        <v>1</v>
      </c>
      <c r="O64" t="s">
        <v>15</v>
      </c>
      <c r="P64" t="s">
        <v>1</v>
      </c>
      <c r="Q64" t="s">
        <v>15</v>
      </c>
      <c r="R64" t="s">
        <v>1</v>
      </c>
      <c r="S64" t="s">
        <v>223</v>
      </c>
      <c r="T64" t="s">
        <v>1</v>
      </c>
      <c r="U64" t="s">
        <v>235</v>
      </c>
      <c r="W64" t="s">
        <v>24</v>
      </c>
      <c r="Y64" t="s">
        <v>52</v>
      </c>
    </row>
    <row r="65" spans="1:25" x14ac:dyDescent="0.45">
      <c r="A65">
        <v>60001</v>
      </c>
      <c r="B65" t="s">
        <v>1</v>
      </c>
      <c r="C65" t="s">
        <v>224</v>
      </c>
      <c r="D65" t="s">
        <v>1</v>
      </c>
      <c r="E65">
        <f t="shared" si="14"/>
        <v>21</v>
      </c>
      <c r="F65" t="s">
        <v>1</v>
      </c>
      <c r="G65" t="s">
        <v>29</v>
      </c>
      <c r="H65" t="s">
        <v>1</v>
      </c>
      <c r="I65">
        <v>0</v>
      </c>
      <c r="J65" t="s">
        <v>1</v>
      </c>
      <c r="K65">
        <v>10</v>
      </c>
      <c r="L65" t="s">
        <v>1</v>
      </c>
      <c r="M65">
        <v>7.0000000000000007E-2</v>
      </c>
      <c r="N65" t="s">
        <v>1</v>
      </c>
      <c r="O65">
        <v>0.7</v>
      </c>
      <c r="P65" t="s">
        <v>1</v>
      </c>
      <c r="Q65">
        <v>4</v>
      </c>
      <c r="R65" t="s">
        <v>1</v>
      </c>
      <c r="S65" t="s">
        <v>224</v>
      </c>
      <c r="T65" t="s">
        <v>1</v>
      </c>
      <c r="U65" t="s">
        <v>236</v>
      </c>
      <c r="W65" t="s">
        <v>24</v>
      </c>
      <c r="Y65" t="s">
        <v>52</v>
      </c>
    </row>
    <row r="66" spans="1:25" x14ac:dyDescent="0.45">
      <c r="A66">
        <v>60002</v>
      </c>
      <c r="B66" t="s">
        <v>1</v>
      </c>
      <c r="C66" t="s">
        <v>225</v>
      </c>
      <c r="D66" t="s">
        <v>1</v>
      </c>
      <c r="E66">
        <f t="shared" si="14"/>
        <v>17</v>
      </c>
      <c r="F66" t="s">
        <v>1</v>
      </c>
      <c r="G66" t="s">
        <v>30</v>
      </c>
      <c r="H66" t="s">
        <v>1</v>
      </c>
      <c r="I66">
        <v>180</v>
      </c>
      <c r="J66" t="s">
        <v>1</v>
      </c>
      <c r="K66">
        <v>240</v>
      </c>
      <c r="L66" t="s">
        <v>1</v>
      </c>
      <c r="M66">
        <v>190</v>
      </c>
      <c r="N66" t="s">
        <v>1</v>
      </c>
      <c r="O66">
        <v>220</v>
      </c>
      <c r="P66" t="s">
        <v>1</v>
      </c>
      <c r="Q66">
        <v>235</v>
      </c>
      <c r="R66" t="s">
        <v>1</v>
      </c>
      <c r="S66" t="s">
        <v>225</v>
      </c>
      <c r="T66" t="s">
        <v>1</v>
      </c>
      <c r="U66" t="s">
        <v>237</v>
      </c>
      <c r="W66" t="s">
        <v>24</v>
      </c>
      <c r="Y66" t="s">
        <v>52</v>
      </c>
    </row>
    <row r="67" spans="1:25" x14ac:dyDescent="0.45">
      <c r="A67">
        <v>60003</v>
      </c>
      <c r="B67" t="s">
        <v>1</v>
      </c>
      <c r="C67" t="s">
        <v>226</v>
      </c>
      <c r="D67" t="s">
        <v>1</v>
      </c>
      <c r="E67">
        <f t="shared" si="14"/>
        <v>17</v>
      </c>
      <c r="F67" t="s">
        <v>1</v>
      </c>
      <c r="G67" t="s">
        <v>31</v>
      </c>
      <c r="H67" t="s">
        <v>1</v>
      </c>
      <c r="I67">
        <v>0</v>
      </c>
      <c r="J67" t="s">
        <v>1</v>
      </c>
      <c r="K67">
        <v>10</v>
      </c>
      <c r="L67" t="s">
        <v>1</v>
      </c>
      <c r="M67">
        <v>0.2</v>
      </c>
      <c r="N67" t="s">
        <v>1</v>
      </c>
      <c r="O67">
        <v>3</v>
      </c>
      <c r="P67" t="s">
        <v>1</v>
      </c>
      <c r="Q67">
        <v>8</v>
      </c>
      <c r="R67" t="s">
        <v>1</v>
      </c>
      <c r="S67" t="s">
        <v>226</v>
      </c>
      <c r="T67" t="s">
        <v>1</v>
      </c>
      <c r="U67" t="s">
        <v>238</v>
      </c>
      <c r="W67" t="s">
        <v>24</v>
      </c>
      <c r="Y67" t="s">
        <v>52</v>
      </c>
    </row>
    <row r="68" spans="1:25" x14ac:dyDescent="0.45">
      <c r="A68">
        <v>60004</v>
      </c>
      <c r="B68" t="s">
        <v>1</v>
      </c>
      <c r="C68" t="s">
        <v>227</v>
      </c>
      <c r="D68" t="s">
        <v>1</v>
      </c>
      <c r="E68">
        <f t="shared" si="14"/>
        <v>22</v>
      </c>
      <c r="F68" t="s">
        <v>1</v>
      </c>
      <c r="G68" t="s">
        <v>105</v>
      </c>
      <c r="H68" t="s">
        <v>1</v>
      </c>
      <c r="I68" t="s">
        <v>15</v>
      </c>
      <c r="J68" t="s">
        <v>1</v>
      </c>
      <c r="K68" t="s">
        <v>15</v>
      </c>
      <c r="L68" t="s">
        <v>1</v>
      </c>
      <c r="M68" t="s">
        <v>15</v>
      </c>
      <c r="N68" t="s">
        <v>1</v>
      </c>
      <c r="O68" t="s">
        <v>15</v>
      </c>
      <c r="P68" t="s">
        <v>1</v>
      </c>
      <c r="Q68" t="s">
        <v>15</v>
      </c>
      <c r="R68" t="s">
        <v>1</v>
      </c>
      <c r="S68" t="s">
        <v>227</v>
      </c>
      <c r="T68" t="s">
        <v>1</v>
      </c>
      <c r="U68" t="s">
        <v>239</v>
      </c>
      <c r="W68" t="s">
        <v>24</v>
      </c>
      <c r="Y68" t="s">
        <v>52</v>
      </c>
    </row>
    <row r="69" spans="1:25" x14ac:dyDescent="0.45">
      <c r="A69">
        <v>60005</v>
      </c>
      <c r="B69" t="s">
        <v>1</v>
      </c>
      <c r="C69" t="s">
        <v>228</v>
      </c>
      <c r="D69" t="s">
        <v>1</v>
      </c>
      <c r="E69">
        <f t="shared" si="14"/>
        <v>22</v>
      </c>
      <c r="F69" t="s">
        <v>1</v>
      </c>
      <c r="G69" t="s">
        <v>105</v>
      </c>
      <c r="H69" t="s">
        <v>1</v>
      </c>
      <c r="I69" t="s">
        <v>15</v>
      </c>
      <c r="J69" t="s">
        <v>1</v>
      </c>
      <c r="K69" t="s">
        <v>15</v>
      </c>
      <c r="L69" t="s">
        <v>1</v>
      </c>
      <c r="M69" t="s">
        <v>15</v>
      </c>
      <c r="N69" t="s">
        <v>1</v>
      </c>
      <c r="O69" t="s">
        <v>15</v>
      </c>
      <c r="P69" t="s">
        <v>1</v>
      </c>
      <c r="Q69" t="s">
        <v>15</v>
      </c>
      <c r="R69" t="s">
        <v>1</v>
      </c>
      <c r="S69" t="s">
        <v>228</v>
      </c>
      <c r="T69" t="s">
        <v>1</v>
      </c>
      <c r="U69" t="s">
        <v>240</v>
      </c>
      <c r="W69" t="s">
        <v>24</v>
      </c>
      <c r="Y69" t="s">
        <v>52</v>
      </c>
    </row>
    <row r="70" spans="1:25" x14ac:dyDescent="0.45">
      <c r="A70">
        <v>60006</v>
      </c>
      <c r="B70" t="s">
        <v>1</v>
      </c>
      <c r="C70" t="s">
        <v>229</v>
      </c>
      <c r="D70" t="s">
        <v>1</v>
      </c>
      <c r="E70">
        <f t="shared" ref="E70:E75" si="15">LEN(C70)</f>
        <v>20</v>
      </c>
      <c r="F70" t="s">
        <v>1</v>
      </c>
      <c r="G70" t="s">
        <v>28</v>
      </c>
      <c r="H70" t="s">
        <v>1</v>
      </c>
      <c r="I70">
        <v>0</v>
      </c>
      <c r="J70" t="s">
        <v>1</v>
      </c>
      <c r="K70" t="s">
        <v>15</v>
      </c>
      <c r="L70" t="s">
        <v>1</v>
      </c>
      <c r="M70" t="s">
        <v>15</v>
      </c>
      <c r="N70" t="s">
        <v>1</v>
      </c>
      <c r="O70" t="s">
        <v>15</v>
      </c>
      <c r="P70" t="s">
        <v>1</v>
      </c>
      <c r="Q70" t="s">
        <v>15</v>
      </c>
      <c r="R70" t="s">
        <v>1</v>
      </c>
      <c r="S70" t="s">
        <v>229</v>
      </c>
      <c r="T70" t="s">
        <v>1</v>
      </c>
      <c r="U70" t="s">
        <v>32</v>
      </c>
      <c r="W70" t="s">
        <v>24</v>
      </c>
      <c r="Y70" t="s">
        <v>52</v>
      </c>
    </row>
    <row r="71" spans="1:25" x14ac:dyDescent="0.45">
      <c r="A71">
        <v>60007</v>
      </c>
      <c r="B71" t="s">
        <v>1</v>
      </c>
      <c r="C71" t="s">
        <v>230</v>
      </c>
      <c r="D71" t="s">
        <v>1</v>
      </c>
      <c r="E71">
        <f t="shared" si="15"/>
        <v>21</v>
      </c>
      <c r="F71" t="s">
        <v>1</v>
      </c>
      <c r="G71" t="s">
        <v>29</v>
      </c>
      <c r="H71" t="s">
        <v>1</v>
      </c>
      <c r="I71">
        <v>0</v>
      </c>
      <c r="J71" t="s">
        <v>1</v>
      </c>
      <c r="K71">
        <v>10</v>
      </c>
      <c r="L71" t="s">
        <v>1</v>
      </c>
      <c r="M71">
        <v>7.0000000000000007E-2</v>
      </c>
      <c r="N71" t="s">
        <v>1</v>
      </c>
      <c r="O71">
        <v>0.7</v>
      </c>
      <c r="P71" t="s">
        <v>1</v>
      </c>
      <c r="Q71">
        <v>4</v>
      </c>
      <c r="R71" t="s">
        <v>1</v>
      </c>
      <c r="S71" t="s">
        <v>230</v>
      </c>
      <c r="T71" t="s">
        <v>1</v>
      </c>
      <c r="U71" t="s">
        <v>33</v>
      </c>
      <c r="W71" t="s">
        <v>24</v>
      </c>
      <c r="Y71" t="s">
        <v>52</v>
      </c>
    </row>
    <row r="72" spans="1:25" x14ac:dyDescent="0.45">
      <c r="A72">
        <v>60008</v>
      </c>
      <c r="B72" t="s">
        <v>1</v>
      </c>
      <c r="C72" t="s">
        <v>231</v>
      </c>
      <c r="D72" t="s">
        <v>1</v>
      </c>
      <c r="E72">
        <f t="shared" si="15"/>
        <v>17</v>
      </c>
      <c r="F72" t="s">
        <v>1</v>
      </c>
      <c r="G72" t="s">
        <v>30</v>
      </c>
      <c r="H72" t="s">
        <v>1</v>
      </c>
      <c r="I72">
        <v>180</v>
      </c>
      <c r="J72" t="s">
        <v>1</v>
      </c>
      <c r="K72">
        <v>240</v>
      </c>
      <c r="L72" t="s">
        <v>1</v>
      </c>
      <c r="M72">
        <v>190</v>
      </c>
      <c r="N72" t="s">
        <v>1</v>
      </c>
      <c r="O72">
        <v>220</v>
      </c>
      <c r="P72" t="s">
        <v>1</v>
      </c>
      <c r="Q72">
        <v>235</v>
      </c>
      <c r="R72" t="s">
        <v>1</v>
      </c>
      <c r="S72" t="s">
        <v>231</v>
      </c>
      <c r="T72" t="s">
        <v>1</v>
      </c>
      <c r="U72" t="s">
        <v>50</v>
      </c>
      <c r="W72" t="s">
        <v>24</v>
      </c>
      <c r="Y72" t="s">
        <v>52</v>
      </c>
    </row>
    <row r="73" spans="1:25" x14ac:dyDescent="0.45">
      <c r="A73">
        <v>60009</v>
      </c>
      <c r="B73" t="s">
        <v>1</v>
      </c>
      <c r="C73" t="s">
        <v>232</v>
      </c>
      <c r="D73" t="s">
        <v>1</v>
      </c>
      <c r="E73">
        <f t="shared" si="15"/>
        <v>17</v>
      </c>
      <c r="F73" t="s">
        <v>1</v>
      </c>
      <c r="G73" t="s">
        <v>31</v>
      </c>
      <c r="H73" t="s">
        <v>1</v>
      </c>
      <c r="I73">
        <v>0</v>
      </c>
      <c r="J73" t="s">
        <v>1</v>
      </c>
      <c r="K73">
        <v>10</v>
      </c>
      <c r="L73" t="s">
        <v>1</v>
      </c>
      <c r="M73">
        <v>0.2</v>
      </c>
      <c r="N73" t="s">
        <v>1</v>
      </c>
      <c r="O73">
        <v>3</v>
      </c>
      <c r="P73" t="s">
        <v>1</v>
      </c>
      <c r="Q73">
        <v>8</v>
      </c>
      <c r="R73" t="s">
        <v>1</v>
      </c>
      <c r="S73" t="s">
        <v>232</v>
      </c>
      <c r="T73" t="s">
        <v>1</v>
      </c>
      <c r="U73" t="s">
        <v>51</v>
      </c>
      <c r="W73" t="s">
        <v>24</v>
      </c>
      <c r="Y73" t="s">
        <v>52</v>
      </c>
    </row>
    <row r="74" spans="1:25" x14ac:dyDescent="0.45">
      <c r="A74">
        <v>60010</v>
      </c>
      <c r="B74" t="s">
        <v>1</v>
      </c>
      <c r="C74" t="s">
        <v>233</v>
      </c>
      <c r="D74" t="s">
        <v>1</v>
      </c>
      <c r="E74">
        <f t="shared" si="15"/>
        <v>22</v>
      </c>
      <c r="F74" t="s">
        <v>1</v>
      </c>
      <c r="G74" t="s">
        <v>105</v>
      </c>
      <c r="H74" t="s">
        <v>1</v>
      </c>
      <c r="I74" t="s">
        <v>15</v>
      </c>
      <c r="J74" t="s">
        <v>1</v>
      </c>
      <c r="K74" t="s">
        <v>15</v>
      </c>
      <c r="L74" t="s">
        <v>1</v>
      </c>
      <c r="M74" t="s">
        <v>15</v>
      </c>
      <c r="N74" t="s">
        <v>1</v>
      </c>
      <c r="O74" t="s">
        <v>15</v>
      </c>
      <c r="P74" t="s">
        <v>1</v>
      </c>
      <c r="Q74" t="s">
        <v>15</v>
      </c>
      <c r="R74" t="s">
        <v>1</v>
      </c>
      <c r="S74" t="s">
        <v>233</v>
      </c>
      <c r="T74" t="s">
        <v>1</v>
      </c>
      <c r="U74" t="s">
        <v>106</v>
      </c>
      <c r="W74" t="s">
        <v>24</v>
      </c>
      <c r="Y74" t="s">
        <v>52</v>
      </c>
    </row>
    <row r="75" spans="1:25" x14ac:dyDescent="0.45">
      <c r="A75">
        <v>60011</v>
      </c>
      <c r="B75" t="s">
        <v>1</v>
      </c>
      <c r="C75" t="s">
        <v>234</v>
      </c>
      <c r="D75" t="s">
        <v>1</v>
      </c>
      <c r="E75">
        <f t="shared" si="15"/>
        <v>22</v>
      </c>
      <c r="F75" t="s">
        <v>1</v>
      </c>
      <c r="G75" t="s">
        <v>105</v>
      </c>
      <c r="H75" t="s">
        <v>1</v>
      </c>
      <c r="I75" t="s">
        <v>15</v>
      </c>
      <c r="J75" t="s">
        <v>1</v>
      </c>
      <c r="K75" t="s">
        <v>15</v>
      </c>
      <c r="L75" t="s">
        <v>1</v>
      </c>
      <c r="M75" t="s">
        <v>15</v>
      </c>
      <c r="N75" t="s">
        <v>1</v>
      </c>
      <c r="O75" t="s">
        <v>15</v>
      </c>
      <c r="P75" t="s">
        <v>1</v>
      </c>
      <c r="Q75" t="s">
        <v>15</v>
      </c>
      <c r="R75" t="s">
        <v>1</v>
      </c>
      <c r="S75" t="s">
        <v>234</v>
      </c>
      <c r="T75" t="s">
        <v>1</v>
      </c>
      <c r="U75" t="s">
        <v>107</v>
      </c>
      <c r="W75" t="s">
        <v>24</v>
      </c>
      <c r="Y75" t="s">
        <v>52</v>
      </c>
    </row>
  </sheetData>
  <phoneticPr fontId="1" type="noConversion"/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zoomScaleNormal="100" workbookViewId="0"/>
  </sheetViews>
  <sheetFormatPr defaultColWidth="8.58203125" defaultRowHeight="17" x14ac:dyDescent="0.45"/>
  <cols>
    <col min="1" max="1" width="11.08203125" customWidth="1"/>
  </cols>
  <sheetData>
    <row r="1" spans="1:1" x14ac:dyDescent="0.45">
      <c r="A1" t="s">
        <v>34</v>
      </c>
    </row>
    <row r="2" spans="1:1" x14ac:dyDescent="0.45">
      <c r="A2" t="s">
        <v>24</v>
      </c>
    </row>
    <row r="3" spans="1:1" x14ac:dyDescent="0.45">
      <c r="A3" t="s">
        <v>17</v>
      </c>
    </row>
    <row r="4" spans="1:1" x14ac:dyDescent="0.45">
      <c r="A4" t="s">
        <v>20</v>
      </c>
    </row>
  </sheetData>
  <phoneticPr fontId="1" type="noConversion"/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0"/>
  <sheetViews>
    <sheetView tabSelected="1" zoomScale="85" zoomScaleNormal="85" workbookViewId="0">
      <pane ySplit="1" topLeftCell="A41" activePane="bottomLeft" state="frozen"/>
      <selection pane="bottomLeft" activeCell="B63" sqref="B63"/>
    </sheetView>
  </sheetViews>
  <sheetFormatPr defaultColWidth="8.58203125" defaultRowHeight="17" x14ac:dyDescent="0.45"/>
  <cols>
    <col min="2" max="2" width="46.33203125" customWidth="1"/>
    <col min="5" max="5" width="18.58203125" customWidth="1"/>
    <col min="14" max="14" width="46.33203125" customWidth="1"/>
  </cols>
  <sheetData>
    <row r="1" spans="1:15" x14ac:dyDescent="0.45">
      <c r="A1" t="s">
        <v>0</v>
      </c>
      <c r="B1" t="s">
        <v>56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</row>
    <row r="2" spans="1:15" x14ac:dyDescent="0.45">
      <c r="A2">
        <f>Sheet1!A2</f>
        <v>10000</v>
      </c>
      <c r="B2" t="str">
        <f>Sheet1!C2</f>
        <v>UTIL_CELL_ID</v>
      </c>
      <c r="C2">
        <f>Sheet1!E2</f>
        <v>12</v>
      </c>
      <c r="D2" t="s">
        <v>14</v>
      </c>
      <c r="E2" t="str">
        <f>Sheet1!Y2</f>
        <v>UTIL</v>
      </c>
      <c r="F2" t="str">
        <f>Sheet1!G2</f>
        <v xml:space="preserve"> </v>
      </c>
      <c r="G2" t="str">
        <f>Sheet1!I2</f>
        <v>N/A</v>
      </c>
      <c r="H2" t="str">
        <f>Sheet1!K2</f>
        <v>N/A</v>
      </c>
      <c r="I2" t="str">
        <f>Sheet1!M2</f>
        <v>N/A</v>
      </c>
      <c r="J2" t="str">
        <f>Sheet1!O2</f>
        <v>N/A</v>
      </c>
      <c r="K2" t="str">
        <f>Sheet1!Q2</f>
        <v>N/A</v>
      </c>
      <c r="L2" t="str">
        <f>Sheet1!W2</f>
        <v>STRING</v>
      </c>
      <c r="M2" t="s">
        <v>14</v>
      </c>
      <c r="N2" t="str">
        <f>Sheet1!S2</f>
        <v>UTIL_CELL_ID</v>
      </c>
      <c r="O2" t="str">
        <f>Sheet1!U2</f>
        <v>년월일시분초 상시보고</v>
      </c>
    </row>
    <row r="3" spans="1:15" x14ac:dyDescent="0.45">
      <c r="A3">
        <f>Sheet1!A3</f>
        <v>10001</v>
      </c>
      <c r="B3" t="str">
        <f>Sheet1!C3</f>
        <v>UTIL_STEP_ID</v>
      </c>
      <c r="C3">
        <f>Sheet1!E3</f>
        <v>12</v>
      </c>
      <c r="D3" t="s">
        <v>14</v>
      </c>
      <c r="E3" t="str">
        <f>Sheet1!Y3</f>
        <v>UTIL</v>
      </c>
      <c r="F3" t="str">
        <f>Sheet1!G3</f>
        <v xml:space="preserve"> </v>
      </c>
      <c r="G3">
        <f>Sheet1!I3</f>
        <v>0</v>
      </c>
      <c r="H3">
        <f>Sheet1!K3</f>
        <v>2</v>
      </c>
      <c r="I3" t="str">
        <f>Sheet1!M3</f>
        <v>N/A</v>
      </c>
      <c r="J3" t="str">
        <f>Sheet1!O3</f>
        <v>N/A</v>
      </c>
      <c r="K3" t="str">
        <f>Sheet1!Q3</f>
        <v>N/A</v>
      </c>
      <c r="L3" t="str">
        <f>Sheet1!W3</f>
        <v>INTEGER</v>
      </c>
      <c r="M3" t="s">
        <v>14</v>
      </c>
      <c r="N3" t="str">
        <f>Sheet1!S3</f>
        <v>UTIL_STEP_ID</v>
      </c>
      <c r="O3" t="str">
        <f>Sheet1!U3</f>
        <v>AUTO : 2 / STOP : 0</v>
      </c>
    </row>
    <row r="4" spans="1:15" x14ac:dyDescent="0.45">
      <c r="A4">
        <f>Sheet1!A4</f>
        <v>10002</v>
      </c>
      <c r="B4" t="str">
        <f>Sheet1!C4</f>
        <v>USE_IN_ROBOT_MCR</v>
      </c>
      <c r="C4">
        <f>Sheet1!E4</f>
        <v>16</v>
      </c>
      <c r="D4" t="s">
        <v>14</v>
      </c>
      <c r="E4" t="str">
        <f>Sheet1!Y4</f>
        <v>UTIL</v>
      </c>
      <c r="F4" t="str">
        <f>Sheet1!G4</f>
        <v xml:space="preserve"> </v>
      </c>
      <c r="G4">
        <f>Sheet1!I4</f>
        <v>0</v>
      </c>
      <c r="H4">
        <f>Sheet1!K4</f>
        <v>1</v>
      </c>
      <c r="I4" t="str">
        <f>Sheet1!M4</f>
        <v>N/A</v>
      </c>
      <c r="J4" t="str">
        <f>Sheet1!O4</f>
        <v>N/A</v>
      </c>
      <c r="K4" t="str">
        <f>Sheet1!Q4</f>
        <v>N/A</v>
      </c>
      <c r="L4" t="str">
        <f>Sheet1!W4</f>
        <v>INTEGER</v>
      </c>
      <c r="M4" t="s">
        <v>14</v>
      </c>
      <c r="N4" t="str">
        <f>Sheet1!S4</f>
        <v>USE_IN_ROBOT_MCR</v>
      </c>
      <c r="O4" t="str">
        <f>Sheet1!U4</f>
        <v>IN_ROBOT MCR 사용 여부 (0: Not Use 1: Use)</v>
      </c>
    </row>
    <row r="5" spans="1:15" x14ac:dyDescent="0.45">
      <c r="A5">
        <f>Sheet1!A5</f>
        <v>10003</v>
      </c>
      <c r="B5" t="str">
        <f>Sheet1!C5</f>
        <v>USE_INSP_STAGE_MAIN_VISION</v>
      </c>
      <c r="C5">
        <f>Sheet1!E5</f>
        <v>26</v>
      </c>
      <c r="D5" t="s">
        <v>14</v>
      </c>
      <c r="E5" t="str">
        <f>Sheet1!Y5</f>
        <v>VISION</v>
      </c>
      <c r="F5" t="str">
        <f>Sheet1!G5</f>
        <v xml:space="preserve"> </v>
      </c>
      <c r="G5">
        <f>Sheet1!I5</f>
        <v>0</v>
      </c>
      <c r="H5">
        <f>Sheet1!K5</f>
        <v>1</v>
      </c>
      <c r="I5" t="str">
        <f>Sheet1!M5</f>
        <v>N/A</v>
      </c>
      <c r="J5" t="str">
        <f>Sheet1!O5</f>
        <v>N/A</v>
      </c>
      <c r="K5" t="str">
        <f>Sheet1!Q5</f>
        <v>N/A</v>
      </c>
      <c r="L5" t="str">
        <f>Sheet1!W5</f>
        <v>INTEGER</v>
      </c>
      <c r="M5" t="s">
        <v>14</v>
      </c>
      <c r="N5" t="str">
        <f>Sheet1!S5</f>
        <v>USE_INSP_STAGE_MAIN_VISION</v>
      </c>
      <c r="O5" t="str">
        <f>Sheet1!U5</f>
        <v>검사기 사용 여부 (0: Not Use 1: Use)</v>
      </c>
    </row>
    <row r="6" spans="1:15" x14ac:dyDescent="0.45">
      <c r="A6">
        <f>Sheet1!A6</f>
        <v>10004</v>
      </c>
      <c r="B6" t="str">
        <f>Sheet1!C6</f>
        <v>RUN_EFU</v>
      </c>
      <c r="C6">
        <f>Sheet1!E6</f>
        <v>7</v>
      </c>
      <c r="D6" t="s">
        <v>14</v>
      </c>
      <c r="E6" t="str">
        <f>Sheet1!Y6</f>
        <v>UTIL</v>
      </c>
      <c r="F6" t="str">
        <f>Sheet1!G6</f>
        <v xml:space="preserve"> </v>
      </c>
      <c r="G6">
        <f>Sheet1!I6</f>
        <v>0</v>
      </c>
      <c r="H6">
        <f>Sheet1!K6</f>
        <v>1</v>
      </c>
      <c r="I6" t="str">
        <f>Sheet1!M6</f>
        <v>N/A</v>
      </c>
      <c r="J6" t="str">
        <f>Sheet1!O6</f>
        <v>N/A</v>
      </c>
      <c r="K6" t="str">
        <f>Sheet1!Q6</f>
        <v>N/A</v>
      </c>
      <c r="L6" t="str">
        <f>Sheet1!W6</f>
        <v>INTEGER</v>
      </c>
      <c r="M6" t="s">
        <v>14</v>
      </c>
      <c r="N6" t="str">
        <f>Sheet1!S6</f>
        <v>RUN_EFU</v>
      </c>
      <c r="O6" t="str">
        <f>Sheet1!U6</f>
        <v>EFU 동작 여부 (0: Not Run 1: Run)</v>
      </c>
    </row>
    <row r="7" spans="1:15" x14ac:dyDescent="0.45">
      <c r="A7">
        <f>Sheet1!A7</f>
        <v>10005</v>
      </c>
      <c r="B7" t="str">
        <f>Sheet1!C7</f>
        <v>EFU_RPM_1</v>
      </c>
      <c r="C7">
        <f>Sheet1!E7</f>
        <v>9</v>
      </c>
      <c r="D7" t="s">
        <v>14</v>
      </c>
      <c r="E7" t="str">
        <f>Sheet1!Y7</f>
        <v>UTIL</v>
      </c>
      <c r="F7" t="str">
        <f>Sheet1!G7</f>
        <v>RPM</v>
      </c>
      <c r="G7">
        <f>Sheet1!I7</f>
        <v>0</v>
      </c>
      <c r="H7">
        <f>Sheet1!K7</f>
        <v>1400</v>
      </c>
      <c r="I7">
        <f>Sheet1!M7</f>
        <v>700</v>
      </c>
      <c r="J7">
        <f>Sheet1!O7</f>
        <v>900</v>
      </c>
      <c r="K7">
        <f>Sheet1!Q7</f>
        <v>1100</v>
      </c>
      <c r="L7" t="str">
        <f>Sheet1!W7</f>
        <v>INTEGER</v>
      </c>
      <c r="M7" t="s">
        <v>14</v>
      </c>
      <c r="N7" t="str">
        <f>Sheet1!S7</f>
        <v>EFU_RPM_1</v>
      </c>
      <c r="O7" t="str">
        <f>Sheet1!U7</f>
        <v>설비 상부에 장착되는 EFU#1의 회전속도값</v>
      </c>
    </row>
    <row r="8" spans="1:15" x14ac:dyDescent="0.45">
      <c r="A8">
        <f>Sheet1!A8</f>
        <v>10006</v>
      </c>
      <c r="B8" t="str">
        <f>Sheet1!C8</f>
        <v>MAIN_ELECTRICAL_TEMP</v>
      </c>
      <c r="C8">
        <f>Sheet1!E8</f>
        <v>20</v>
      </c>
      <c r="D8" t="s">
        <v>14</v>
      </c>
      <c r="E8" t="str">
        <f>Sheet1!Y8</f>
        <v>UTIL</v>
      </c>
      <c r="F8" t="str">
        <f>Sheet1!G8</f>
        <v>℃</v>
      </c>
      <c r="G8">
        <f>Sheet1!I8</f>
        <v>0</v>
      </c>
      <c r="H8">
        <f>Sheet1!K8</f>
        <v>100</v>
      </c>
      <c r="I8">
        <f>Sheet1!M8</f>
        <v>20</v>
      </c>
      <c r="J8">
        <f>Sheet1!O8</f>
        <v>28</v>
      </c>
      <c r="K8">
        <f>Sheet1!Q8</f>
        <v>40</v>
      </c>
      <c r="L8" t="str">
        <f>Sheet1!W8</f>
        <v>FLOAT</v>
      </c>
      <c r="M8" t="s">
        <v>14</v>
      </c>
      <c r="N8" t="str">
        <f>Sheet1!S8</f>
        <v>MAIN_ELECTRICAL_TEMP</v>
      </c>
      <c r="O8" t="str">
        <f>Sheet1!U8</f>
        <v>MAIN 전장반 온도</v>
      </c>
    </row>
    <row r="9" spans="1:15" x14ac:dyDescent="0.45">
      <c r="A9">
        <f>Sheet1!A9</f>
        <v>10007</v>
      </c>
      <c r="B9" t="str">
        <f>Sheet1!C9</f>
        <v>MAIN_PCRACK_TEMP</v>
      </c>
      <c r="C9">
        <f>Sheet1!E9</f>
        <v>16</v>
      </c>
      <c r="D9" t="s">
        <v>14</v>
      </c>
      <c r="E9" t="str">
        <f>Sheet1!Y9</f>
        <v>UTIL</v>
      </c>
      <c r="F9" t="str">
        <f>Sheet1!G9</f>
        <v>℃</v>
      </c>
      <c r="G9">
        <f>Sheet1!I9</f>
        <v>0</v>
      </c>
      <c r="H9">
        <f>Sheet1!K9</f>
        <v>100</v>
      </c>
      <c r="I9">
        <f>Sheet1!M9</f>
        <v>20</v>
      </c>
      <c r="J9">
        <f>Sheet1!O9</f>
        <v>28</v>
      </c>
      <c r="K9">
        <f>Sheet1!Q9</f>
        <v>40</v>
      </c>
      <c r="L9" t="str">
        <f>Sheet1!W9</f>
        <v>FLOAT</v>
      </c>
      <c r="M9" t="s">
        <v>14</v>
      </c>
      <c r="N9" t="str">
        <f>Sheet1!S9</f>
        <v>MAIN_PCRACK_TEMP</v>
      </c>
      <c r="O9" t="str">
        <f>Sheet1!U9</f>
        <v>PC 랙 온도</v>
      </c>
    </row>
    <row r="10" spans="1:15" x14ac:dyDescent="0.45">
      <c r="A10">
        <f>Sheet1!A10</f>
        <v>10008</v>
      </c>
      <c r="B10" t="str">
        <f>Sheet1!C10</f>
        <v>USE_IN_SHUTTLE_PRE_ALIGN</v>
      </c>
      <c r="C10">
        <f>Sheet1!E10</f>
        <v>24</v>
      </c>
      <c r="D10" t="s">
        <v>14</v>
      </c>
      <c r="E10" t="str">
        <f>Sheet1!Y10</f>
        <v>VISION</v>
      </c>
      <c r="F10" t="str">
        <f>Sheet1!G10</f>
        <v xml:space="preserve"> </v>
      </c>
      <c r="G10">
        <f>Sheet1!I10</f>
        <v>0</v>
      </c>
      <c r="H10">
        <f>Sheet1!K10</f>
        <v>1</v>
      </c>
      <c r="I10" t="str">
        <f>Sheet1!M10</f>
        <v>N/A</v>
      </c>
      <c r="J10" t="str">
        <f>Sheet1!O10</f>
        <v>N/A</v>
      </c>
      <c r="K10" t="str">
        <f>Sheet1!Q10</f>
        <v>N/A</v>
      </c>
      <c r="L10" t="str">
        <f>Sheet1!W10</f>
        <v>INTEGER</v>
      </c>
      <c r="M10" t="s">
        <v>14</v>
      </c>
      <c r="N10" t="str">
        <f>Sheet1!S10</f>
        <v>USE_IN_SHUTTLE_PRE_ALIGN</v>
      </c>
      <c r="O10" t="str">
        <f>Sheet1!U10</f>
        <v>In Shuttle Pre-Align 사용 여부</v>
      </c>
    </row>
    <row r="11" spans="1:15" x14ac:dyDescent="0.45">
      <c r="A11">
        <f>Sheet1!A11</f>
        <v>10009</v>
      </c>
      <c r="B11" t="str">
        <f>Sheet1!C11</f>
        <v>IN_SHUTTLE_PRE_ALIGN_SCORE_SETTING</v>
      </c>
      <c r="C11">
        <f>Sheet1!E11</f>
        <v>34</v>
      </c>
      <c r="D11" t="s">
        <v>14</v>
      </c>
      <c r="E11" t="str">
        <f>Sheet1!Y11</f>
        <v>VISION</v>
      </c>
      <c r="F11" t="str">
        <f>Sheet1!G11</f>
        <v>%</v>
      </c>
      <c r="G11">
        <f>Sheet1!I11</f>
        <v>0</v>
      </c>
      <c r="H11">
        <f>Sheet1!K11</f>
        <v>100</v>
      </c>
      <c r="I11" t="str">
        <f>Sheet1!M11</f>
        <v>N/A</v>
      </c>
      <c r="J11" t="str">
        <f>Sheet1!O11</f>
        <v>N/A</v>
      </c>
      <c r="K11" t="str">
        <f>Sheet1!Q11</f>
        <v>N/A</v>
      </c>
      <c r="L11" t="str">
        <f>Sheet1!W11</f>
        <v>FLOAT</v>
      </c>
      <c r="M11" t="s">
        <v>14</v>
      </c>
      <c r="N11" t="str">
        <f>Sheet1!S11</f>
        <v>IN_SHUTTLE_PRE_ALIGN_SCORE_SETTING</v>
      </c>
      <c r="O11" t="str">
        <f>Sheet1!U11</f>
        <v>In Shuttle Pre-Align Score 인터락 세팅값</v>
      </c>
    </row>
    <row r="12" spans="1:15" x14ac:dyDescent="0.45">
      <c r="A12">
        <f>Sheet1!A12</f>
        <v>10010</v>
      </c>
      <c r="B12" t="str">
        <f>Sheet1!C12</f>
        <v>IN_SHUTTLE_P1_PRE_ALIGN_CELL_ID</v>
      </c>
      <c r="C12">
        <f>Sheet1!E12</f>
        <v>31</v>
      </c>
      <c r="D12" t="s">
        <v>14</v>
      </c>
      <c r="E12" t="str">
        <f>Sheet1!Y12</f>
        <v>VISION</v>
      </c>
      <c r="F12" t="str">
        <f>Sheet1!G12</f>
        <v xml:space="preserve"> </v>
      </c>
      <c r="G12" t="str">
        <f>Sheet1!I12</f>
        <v>N/A</v>
      </c>
      <c r="H12" t="str">
        <f>Sheet1!K12</f>
        <v>N/A</v>
      </c>
      <c r="I12" t="str">
        <f>Sheet1!M12</f>
        <v>N/A</v>
      </c>
      <c r="J12" t="str">
        <f>Sheet1!O12</f>
        <v>N/A</v>
      </c>
      <c r="K12" t="str">
        <f>Sheet1!Q12</f>
        <v>N/A</v>
      </c>
      <c r="L12" t="str">
        <f>Sheet1!W12</f>
        <v>STRING</v>
      </c>
      <c r="M12" t="s">
        <v>14</v>
      </c>
      <c r="N12" t="str">
        <f>Sheet1!S12</f>
        <v>IN_SHUTTLE_P1_PRE_ALIGN_CELL_ID</v>
      </c>
      <c r="O12" t="str">
        <f>Sheet1!U12</f>
        <v>In Shuttle P1 Pre-Align Cell ID</v>
      </c>
    </row>
    <row r="13" spans="1:15" x14ac:dyDescent="0.45">
      <c r="A13">
        <f>Sheet1!A13</f>
        <v>10011</v>
      </c>
      <c r="B13" t="str">
        <f>Sheet1!C13</f>
        <v>IN_SHUTTLE_P1_PRE_ALIGN_STEP_ID</v>
      </c>
      <c r="C13">
        <f>Sheet1!E13</f>
        <v>31</v>
      </c>
      <c r="D13" t="s">
        <v>14</v>
      </c>
      <c r="E13" t="str">
        <f>Sheet1!Y13</f>
        <v>VISION</v>
      </c>
      <c r="F13" t="str">
        <f>Sheet1!G13</f>
        <v xml:space="preserve"> </v>
      </c>
      <c r="G13">
        <f>Sheet1!I13</f>
        <v>0</v>
      </c>
      <c r="H13">
        <f>Sheet1!K13</f>
        <v>2</v>
      </c>
      <c r="I13" t="str">
        <f>Sheet1!M13</f>
        <v>N/A</v>
      </c>
      <c r="J13" t="str">
        <f>Sheet1!O13</f>
        <v>N/A</v>
      </c>
      <c r="K13" t="str">
        <f>Sheet1!Q13</f>
        <v>N/A</v>
      </c>
      <c r="L13" t="str">
        <f>Sheet1!W13</f>
        <v>INTEGER</v>
      </c>
      <c r="M13" t="s">
        <v>14</v>
      </c>
      <c r="N13" t="str">
        <f>Sheet1!S13</f>
        <v>IN_SHUTTLE_P1_PRE_ALIGN_STEP_ID</v>
      </c>
      <c r="O13" t="str">
        <f>Sheet1!U13</f>
        <v>In Shuttle P1 Pre-Align Step ID</v>
      </c>
    </row>
    <row r="14" spans="1:15" x14ac:dyDescent="0.45">
      <c r="A14">
        <f>Sheet1!A14</f>
        <v>10012</v>
      </c>
      <c r="B14" t="str">
        <f>Sheet1!C14</f>
        <v>IN_SHUTTLE_P1_PRE_ALIGN_DATA_SCORE</v>
      </c>
      <c r="C14">
        <f>Sheet1!E14</f>
        <v>34</v>
      </c>
      <c r="D14" t="s">
        <v>14</v>
      </c>
      <c r="E14" t="str">
        <f>Sheet1!Y14</f>
        <v>VISION</v>
      </c>
      <c r="F14" t="str">
        <f>Sheet1!G14</f>
        <v>%</v>
      </c>
      <c r="G14">
        <f>Sheet1!I14</f>
        <v>0</v>
      </c>
      <c r="H14">
        <f>Sheet1!K14</f>
        <v>100</v>
      </c>
      <c r="I14" t="str">
        <f>Sheet1!M14</f>
        <v>N/A</v>
      </c>
      <c r="J14" t="str">
        <f>Sheet1!O14</f>
        <v>N/A</v>
      </c>
      <c r="K14" t="str">
        <f>Sheet1!Q14</f>
        <v>N/A</v>
      </c>
      <c r="L14" t="str">
        <f>Sheet1!W14</f>
        <v>FLOAT</v>
      </c>
      <c r="M14" t="s">
        <v>14</v>
      </c>
      <c r="N14" t="str">
        <f>Sheet1!S14</f>
        <v>IN_SHUTTLE_P1_PRE_ALIGN_DATA_SCORE</v>
      </c>
      <c r="O14" t="str">
        <f>Sheet1!U14</f>
        <v>In Shuttle P1 Pre-Align Data Score</v>
      </c>
    </row>
    <row r="15" spans="1:15" x14ac:dyDescent="0.45">
      <c r="A15">
        <f>Sheet1!A15</f>
        <v>10013</v>
      </c>
      <c r="B15" t="str">
        <f>Sheet1!C15</f>
        <v>IN_SHUTTLE_P1_PRE_ALIGN_DATA_X</v>
      </c>
      <c r="C15">
        <f>Sheet1!E15</f>
        <v>30</v>
      </c>
      <c r="D15" t="s">
        <v>14</v>
      </c>
      <c r="E15" t="str">
        <f>Sheet1!Y15</f>
        <v>VISION</v>
      </c>
      <c r="F15" t="str">
        <f>Sheet1!G15</f>
        <v>mm</v>
      </c>
      <c r="G15">
        <f>Sheet1!I15</f>
        <v>-999</v>
      </c>
      <c r="H15">
        <f>Sheet1!K15</f>
        <v>999</v>
      </c>
      <c r="I15" t="str">
        <f>Sheet1!M15</f>
        <v>N/A</v>
      </c>
      <c r="J15" t="str">
        <f>Sheet1!O15</f>
        <v>N/A</v>
      </c>
      <c r="K15" t="str">
        <f>Sheet1!Q15</f>
        <v>N/A</v>
      </c>
      <c r="L15" t="str">
        <f>Sheet1!W15</f>
        <v>FLOAT</v>
      </c>
      <c r="M15" t="s">
        <v>14</v>
      </c>
      <c r="N15" t="str">
        <f>Sheet1!S15</f>
        <v>IN_SHUTTLE_P1_PRE_ALIGN_DATA_X</v>
      </c>
      <c r="O15" t="str">
        <f>Sheet1!U15</f>
        <v>In Shuttle P1 Pre-Align Data X</v>
      </c>
    </row>
    <row r="16" spans="1:15" x14ac:dyDescent="0.45">
      <c r="A16">
        <f>Sheet1!A16</f>
        <v>10014</v>
      </c>
      <c r="B16" t="str">
        <f>Sheet1!C16</f>
        <v>IN_SHUTTLE_P1_PRE_ALIGN_DATA_Y</v>
      </c>
      <c r="C16">
        <f>Sheet1!E16</f>
        <v>30</v>
      </c>
      <c r="D16" t="s">
        <v>14</v>
      </c>
      <c r="E16" t="str">
        <f>Sheet1!Y16</f>
        <v>VISION</v>
      </c>
      <c r="F16" t="str">
        <f>Sheet1!G16</f>
        <v>mm</v>
      </c>
      <c r="G16">
        <f>Sheet1!I16</f>
        <v>-999</v>
      </c>
      <c r="H16">
        <f>Sheet1!K16</f>
        <v>999</v>
      </c>
      <c r="I16" t="str">
        <f>Sheet1!M16</f>
        <v>N/A</v>
      </c>
      <c r="J16" t="str">
        <f>Sheet1!O16</f>
        <v>N/A</v>
      </c>
      <c r="K16" t="str">
        <f>Sheet1!Q16</f>
        <v>N/A</v>
      </c>
      <c r="L16" t="str">
        <f>Sheet1!W16</f>
        <v>FLOAT</v>
      </c>
      <c r="M16" t="s">
        <v>14</v>
      </c>
      <c r="N16" t="str">
        <f>Sheet1!S16</f>
        <v>IN_SHUTTLE_P1_PRE_ALIGN_DATA_Y</v>
      </c>
      <c r="O16" t="str">
        <f>Sheet1!U16</f>
        <v>In Shuttle P1 Pre-Align Data Y</v>
      </c>
    </row>
    <row r="17" spans="1:15" x14ac:dyDescent="0.45">
      <c r="A17">
        <f>Sheet1!A17</f>
        <v>10015</v>
      </c>
      <c r="B17" t="str">
        <f>Sheet1!C17</f>
        <v>IN_SHUTTLE_P1_PRE_ALIGN_DATA_T</v>
      </c>
      <c r="C17">
        <f>Sheet1!E17</f>
        <v>30</v>
      </c>
      <c r="D17" t="s">
        <v>14</v>
      </c>
      <c r="E17" t="str">
        <f>Sheet1!Y17</f>
        <v>VISION</v>
      </c>
      <c r="F17" t="str">
        <f>Sheet1!G17</f>
        <v>º</v>
      </c>
      <c r="G17">
        <f>Sheet1!I17</f>
        <v>-999</v>
      </c>
      <c r="H17">
        <f>Sheet1!K17</f>
        <v>999</v>
      </c>
      <c r="I17" t="str">
        <f>Sheet1!M17</f>
        <v>N/A</v>
      </c>
      <c r="J17" t="str">
        <f>Sheet1!O17</f>
        <v>N/A</v>
      </c>
      <c r="K17" t="str">
        <f>Sheet1!Q17</f>
        <v>N/A</v>
      </c>
      <c r="L17" t="str">
        <f>Sheet1!W17</f>
        <v>FLOAT</v>
      </c>
      <c r="M17" t="s">
        <v>14</v>
      </c>
      <c r="N17" t="str">
        <f>Sheet1!S17</f>
        <v>IN_SHUTTLE_P1_PRE_ALIGN_DATA_T</v>
      </c>
      <c r="O17" t="str">
        <f>Sheet1!U17</f>
        <v>In Shuttle P1 Pre-Align Data T</v>
      </c>
    </row>
    <row r="18" spans="1:15" x14ac:dyDescent="0.45">
      <c r="A18">
        <f>Sheet1!A18</f>
        <v>10016</v>
      </c>
      <c r="B18" t="str">
        <f>Sheet1!C18</f>
        <v>IN_SHUTTLE_P2_PRE_ALIGN_CELL_ID</v>
      </c>
      <c r="C18">
        <f>Sheet1!E18</f>
        <v>31</v>
      </c>
      <c r="D18" t="s">
        <v>14</v>
      </c>
      <c r="E18" t="str">
        <f>Sheet1!Y18</f>
        <v>VISION</v>
      </c>
      <c r="F18" t="str">
        <f>Sheet1!G18</f>
        <v xml:space="preserve"> </v>
      </c>
      <c r="G18" t="str">
        <f>Sheet1!I18</f>
        <v>N/A</v>
      </c>
      <c r="H18" t="str">
        <f>Sheet1!K18</f>
        <v>N/A</v>
      </c>
      <c r="I18" t="str">
        <f>Sheet1!M18</f>
        <v>N/A</v>
      </c>
      <c r="J18" t="str">
        <f>Sheet1!O18</f>
        <v>N/A</v>
      </c>
      <c r="K18" t="str">
        <f>Sheet1!Q18</f>
        <v>N/A</v>
      </c>
      <c r="L18" t="str">
        <f>Sheet1!W18</f>
        <v>STRING</v>
      </c>
      <c r="M18" t="s">
        <v>14</v>
      </c>
      <c r="N18" t="str">
        <f>Sheet1!S18</f>
        <v>IN_SHUTTLE_P2_PRE_ALIGN_CELL_ID</v>
      </c>
      <c r="O18" t="str">
        <f>Sheet1!U18</f>
        <v>In Shuttle P2 Pre-Align Cell ID</v>
      </c>
    </row>
    <row r="19" spans="1:15" x14ac:dyDescent="0.45">
      <c r="A19">
        <f>Sheet1!A19</f>
        <v>10017</v>
      </c>
      <c r="B19" t="str">
        <f>Sheet1!C19</f>
        <v>IN_SHUTTLE_P2_PRE_ALIGN_STEP_ID</v>
      </c>
      <c r="C19">
        <f>Sheet1!E19</f>
        <v>31</v>
      </c>
      <c r="D19" t="s">
        <v>14</v>
      </c>
      <c r="E19" t="str">
        <f>Sheet1!Y19</f>
        <v>VISION</v>
      </c>
      <c r="F19" t="str">
        <f>Sheet1!G19</f>
        <v xml:space="preserve"> </v>
      </c>
      <c r="G19">
        <f>Sheet1!I19</f>
        <v>0</v>
      </c>
      <c r="H19">
        <f>Sheet1!K19</f>
        <v>2</v>
      </c>
      <c r="I19" t="str">
        <f>Sheet1!M19</f>
        <v>N/A</v>
      </c>
      <c r="J19" t="str">
        <f>Sheet1!O19</f>
        <v>N/A</v>
      </c>
      <c r="K19" t="str">
        <f>Sheet1!Q19</f>
        <v>N/A</v>
      </c>
      <c r="L19" t="str">
        <f>Sheet1!W19</f>
        <v>INTEGER</v>
      </c>
      <c r="M19" t="s">
        <v>14</v>
      </c>
      <c r="N19" t="str">
        <f>Sheet1!S19</f>
        <v>IN_SHUTTLE_P2_PRE_ALIGN_STEP_ID</v>
      </c>
      <c r="O19" t="str">
        <f>Sheet1!U19</f>
        <v>In Shuttle P2 Pre-Align Step ID</v>
      </c>
    </row>
    <row r="20" spans="1:15" x14ac:dyDescent="0.45">
      <c r="A20">
        <f>Sheet1!A20</f>
        <v>10018</v>
      </c>
      <c r="B20" t="str">
        <f>Sheet1!C20</f>
        <v>IN_SHUTTLE_P2_PRE_ALIGN_DATA_SCORE</v>
      </c>
      <c r="C20">
        <f>Sheet1!E20</f>
        <v>34</v>
      </c>
      <c r="D20" t="s">
        <v>14</v>
      </c>
      <c r="E20" t="str">
        <f>Sheet1!Y20</f>
        <v>VISION</v>
      </c>
      <c r="F20" t="str">
        <f>Sheet1!G20</f>
        <v>%</v>
      </c>
      <c r="G20">
        <f>Sheet1!I20</f>
        <v>0</v>
      </c>
      <c r="H20">
        <f>Sheet1!K20</f>
        <v>100</v>
      </c>
      <c r="I20" t="str">
        <f>Sheet1!M20</f>
        <v>N/A</v>
      </c>
      <c r="J20" t="str">
        <f>Sheet1!O20</f>
        <v>N/A</v>
      </c>
      <c r="K20" t="str">
        <f>Sheet1!Q20</f>
        <v>N/A</v>
      </c>
      <c r="L20" t="str">
        <f>Sheet1!W20</f>
        <v>FLOAT</v>
      </c>
      <c r="M20" t="s">
        <v>14</v>
      </c>
      <c r="N20" t="str">
        <f>Sheet1!S20</f>
        <v>IN_SHUTTLE_P2_PRE_ALIGN_DATA_SCORE</v>
      </c>
      <c r="O20" t="str">
        <f>Sheet1!U20</f>
        <v>In Shuttle P2 Pre-Align Data Score</v>
      </c>
    </row>
    <row r="21" spans="1:15" x14ac:dyDescent="0.45">
      <c r="A21">
        <f>Sheet1!A21</f>
        <v>10019</v>
      </c>
      <c r="B21" t="str">
        <f>Sheet1!C21</f>
        <v>IN_SHUTTLE_P2_PRE_ALIGN_DATA_X</v>
      </c>
      <c r="C21">
        <f>Sheet1!E21</f>
        <v>30</v>
      </c>
      <c r="D21" t="s">
        <v>14</v>
      </c>
      <c r="E21" t="str">
        <f>Sheet1!Y21</f>
        <v>VISION</v>
      </c>
      <c r="F21" t="str">
        <f>Sheet1!G21</f>
        <v>mm</v>
      </c>
      <c r="G21">
        <f>Sheet1!I21</f>
        <v>-999</v>
      </c>
      <c r="H21">
        <f>Sheet1!K21</f>
        <v>999</v>
      </c>
      <c r="I21" t="str">
        <f>Sheet1!M21</f>
        <v>N/A</v>
      </c>
      <c r="J21" t="str">
        <f>Sheet1!O21</f>
        <v>N/A</v>
      </c>
      <c r="K21" t="str">
        <f>Sheet1!Q21</f>
        <v>N/A</v>
      </c>
      <c r="L21" t="str">
        <f>Sheet1!W21</f>
        <v>FLOAT</v>
      </c>
      <c r="M21" t="s">
        <v>14</v>
      </c>
      <c r="N21" t="str">
        <f>Sheet1!S21</f>
        <v>IN_SHUTTLE_P2_PRE_ALIGN_DATA_X</v>
      </c>
      <c r="O21" t="str">
        <f>Sheet1!U21</f>
        <v>In Shuttle P2 Pre-Align Data X</v>
      </c>
    </row>
    <row r="22" spans="1:15" x14ac:dyDescent="0.45">
      <c r="A22">
        <f>Sheet1!A22</f>
        <v>10020</v>
      </c>
      <c r="B22" t="str">
        <f>Sheet1!C22</f>
        <v>IN_SHUTTLE_P2_PRE_ALIGN_DATA_Y</v>
      </c>
      <c r="C22">
        <f>Sheet1!E22</f>
        <v>30</v>
      </c>
      <c r="D22" t="s">
        <v>14</v>
      </c>
      <c r="E22" t="str">
        <f>Sheet1!Y22</f>
        <v>VISION</v>
      </c>
      <c r="F22" t="str">
        <f>Sheet1!G22</f>
        <v>mm</v>
      </c>
      <c r="G22">
        <f>Sheet1!I22</f>
        <v>-999</v>
      </c>
      <c r="H22">
        <f>Sheet1!K22</f>
        <v>999</v>
      </c>
      <c r="I22" t="str">
        <f>Sheet1!M22</f>
        <v>N/A</v>
      </c>
      <c r="J22" t="str">
        <f>Sheet1!O22</f>
        <v>N/A</v>
      </c>
      <c r="K22" t="str">
        <f>Sheet1!Q22</f>
        <v>N/A</v>
      </c>
      <c r="L22" t="str">
        <f>Sheet1!W22</f>
        <v>FLOAT</v>
      </c>
      <c r="M22" t="s">
        <v>14</v>
      </c>
      <c r="N22" t="str">
        <f>Sheet1!S22</f>
        <v>IN_SHUTTLE_P2_PRE_ALIGN_DATA_Y</v>
      </c>
      <c r="O22" t="str">
        <f>Sheet1!U22</f>
        <v>In Shuttle P2 Pre-Align Data Y</v>
      </c>
    </row>
    <row r="23" spans="1:15" x14ac:dyDescent="0.45">
      <c r="A23">
        <f>Sheet1!A23</f>
        <v>10021</v>
      </c>
      <c r="B23" t="str">
        <f>Sheet1!C23</f>
        <v>IN_SHUTTLE_P2_PRE_ALIGN_DATA_T</v>
      </c>
      <c r="C23">
        <f>Sheet1!E23</f>
        <v>30</v>
      </c>
      <c r="D23" t="s">
        <v>14</v>
      </c>
      <c r="E23" t="str">
        <f>Sheet1!Y23</f>
        <v>VISION</v>
      </c>
      <c r="F23" t="str">
        <f>Sheet1!G23</f>
        <v>º</v>
      </c>
      <c r="G23">
        <f>Sheet1!I23</f>
        <v>-999</v>
      </c>
      <c r="H23">
        <f>Sheet1!K23</f>
        <v>999</v>
      </c>
      <c r="I23" t="str">
        <f>Sheet1!M23</f>
        <v>N/A</v>
      </c>
      <c r="J23" t="str">
        <f>Sheet1!O23</f>
        <v>N/A</v>
      </c>
      <c r="K23" t="str">
        <f>Sheet1!Q23</f>
        <v>N/A</v>
      </c>
      <c r="L23" t="str">
        <f>Sheet1!W23</f>
        <v>FLOAT</v>
      </c>
      <c r="M23" t="s">
        <v>14</v>
      </c>
      <c r="N23" t="str">
        <f>Sheet1!S23</f>
        <v>IN_SHUTTLE_P2_PRE_ALIGN_DATA_T</v>
      </c>
      <c r="O23" t="str">
        <f>Sheet1!U23</f>
        <v>In Shuttle P2 Pre-Align Data T</v>
      </c>
    </row>
    <row r="24" spans="1:15" x14ac:dyDescent="0.45">
      <c r="A24">
        <f>Sheet1!A24</f>
        <v>10022</v>
      </c>
      <c r="B24" t="str">
        <f>Sheet1!C24</f>
        <v>MAIN_VACUUM_PRESSURE</v>
      </c>
      <c r="C24">
        <f>Sheet1!E24</f>
        <v>20</v>
      </c>
      <c r="D24" t="s">
        <v>14</v>
      </c>
      <c r="E24" t="str">
        <f>Sheet1!Y24</f>
        <v>UTIL</v>
      </c>
      <c r="F24" t="str">
        <f>Sheet1!G24</f>
        <v>kPa</v>
      </c>
      <c r="G24">
        <f>Sheet1!I24</f>
        <v>-90</v>
      </c>
      <c r="H24">
        <f>Sheet1!K24</f>
        <v>0</v>
      </c>
      <c r="I24">
        <f>Sheet1!M24</f>
        <v>-60</v>
      </c>
      <c r="J24">
        <f>Sheet1!O24</f>
        <v>-50</v>
      </c>
      <c r="K24">
        <f>Sheet1!Q24</f>
        <v>-40</v>
      </c>
      <c r="L24" t="str">
        <f>Sheet1!W24</f>
        <v>FLOAT</v>
      </c>
      <c r="M24" t="s">
        <v>14</v>
      </c>
      <c r="N24" t="str">
        <f>Sheet1!S24</f>
        <v>MAIN_VACUUM_PRESSURE</v>
      </c>
      <c r="O24" t="str">
        <f>Sheet1!U24</f>
        <v>설비에 공급되는 Main Vacuum에 대한 압력값</v>
      </c>
    </row>
    <row r="25" spans="1:15" x14ac:dyDescent="0.45">
      <c r="A25">
        <f>Sheet1!A25</f>
        <v>10023</v>
      </c>
      <c r="B25" t="str">
        <f>Sheet1!C25</f>
        <v>INSP_STAGE_MAIN_VACUUM_PRESSURE</v>
      </c>
      <c r="C25">
        <f>Sheet1!E25</f>
        <v>31</v>
      </c>
      <c r="D25" t="s">
        <v>14</v>
      </c>
      <c r="E25" t="str">
        <f>Sheet1!Y25</f>
        <v>UTIL</v>
      </c>
      <c r="F25" t="str">
        <f>Sheet1!G25</f>
        <v>kPa</v>
      </c>
      <c r="G25">
        <f>Sheet1!I25</f>
        <v>-90</v>
      </c>
      <c r="H25">
        <f>Sheet1!K25</f>
        <v>0</v>
      </c>
      <c r="I25">
        <f>Sheet1!M25</f>
        <v>-60</v>
      </c>
      <c r="J25">
        <f>Sheet1!O25</f>
        <v>-50</v>
      </c>
      <c r="K25">
        <f>Sheet1!Q25</f>
        <v>-40</v>
      </c>
      <c r="L25" t="str">
        <f>Sheet1!W25</f>
        <v>FLOAT</v>
      </c>
      <c r="M25" t="s">
        <v>14</v>
      </c>
      <c r="N25" t="str">
        <f>Sheet1!S25</f>
        <v>INSP_STAGE_MAIN_VACUUM_PRESSURE</v>
      </c>
      <c r="O25" t="str">
        <f>Sheet1!U25</f>
        <v>설비에 공급되는 검사스테이지 Main Vacuum에 대한 압력값</v>
      </c>
    </row>
    <row r="26" spans="1:15" x14ac:dyDescent="0.45">
      <c r="A26">
        <f>Sheet1!A26</f>
        <v>10024</v>
      </c>
      <c r="B26" t="str">
        <f>Sheet1!C26</f>
        <v>MAIN_CDA_PRESSURE</v>
      </c>
      <c r="C26">
        <f>Sheet1!E26</f>
        <v>17</v>
      </c>
      <c r="D26" t="s">
        <v>14</v>
      </c>
      <c r="E26" t="str">
        <f>Sheet1!Y26</f>
        <v>UTIL</v>
      </c>
      <c r="F26" t="str">
        <f>Sheet1!G26</f>
        <v>MPa</v>
      </c>
      <c r="G26">
        <f>Sheet1!I26</f>
        <v>0</v>
      </c>
      <c r="H26">
        <f>Sheet1!K26</f>
        <v>0.7</v>
      </c>
      <c r="I26">
        <f>Sheet1!M26</f>
        <v>0.35</v>
      </c>
      <c r="J26">
        <f>Sheet1!O26</f>
        <v>0.5</v>
      </c>
      <c r="K26">
        <f>Sheet1!Q26</f>
        <v>0.65</v>
      </c>
      <c r="L26" t="str">
        <f>Sheet1!W26</f>
        <v>FLOAT</v>
      </c>
      <c r="M26" t="s">
        <v>14</v>
      </c>
      <c r="N26" t="str">
        <f>Sheet1!S26</f>
        <v>MAIN_CDA_PRESSURE</v>
      </c>
      <c r="O26" t="str">
        <f>Sheet1!U26</f>
        <v>설비에 공급되는 Main Air에 대한 압력값</v>
      </c>
    </row>
    <row r="27" spans="1:15" x14ac:dyDescent="0.45">
      <c r="A27">
        <f>Sheet1!A27</f>
        <v>10025</v>
      </c>
      <c r="B27" t="str">
        <f>Sheet1!C27</f>
        <v>IN_SHUTTLE_P1_CELL_ID</v>
      </c>
      <c r="C27">
        <f>Sheet1!E27</f>
        <v>21</v>
      </c>
      <c r="D27" t="s">
        <v>14</v>
      </c>
      <c r="E27" t="str">
        <f>Sheet1!Y27</f>
        <v>IN SHUTTLE</v>
      </c>
      <c r="F27" t="str">
        <f>Sheet1!G27</f>
        <v xml:space="preserve"> </v>
      </c>
      <c r="G27" t="str">
        <f>Sheet1!I27</f>
        <v>N/A</v>
      </c>
      <c r="H27" t="str">
        <f>Sheet1!K27</f>
        <v>N/A</v>
      </c>
      <c r="I27" t="str">
        <f>Sheet1!M27</f>
        <v>N/A</v>
      </c>
      <c r="J27" t="str">
        <f>Sheet1!O27</f>
        <v>N/A</v>
      </c>
      <c r="K27" t="str">
        <f>Sheet1!Q27</f>
        <v>N/A</v>
      </c>
      <c r="L27" t="str">
        <f>Sheet1!W27</f>
        <v>STRING</v>
      </c>
      <c r="M27" t="s">
        <v>14</v>
      </c>
      <c r="N27" t="str">
        <f>Sheet1!S27</f>
        <v>IN_SHUTTLE_P1_CELL_ID</v>
      </c>
      <c r="O27" t="str">
        <f>Sheet1!U27</f>
        <v>IN SHUTTLE #1의 CELL ID</v>
      </c>
    </row>
    <row r="28" spans="1:15" x14ac:dyDescent="0.45">
      <c r="A28">
        <f>Sheet1!A28</f>
        <v>10026</v>
      </c>
      <c r="B28" t="str">
        <f>Sheet1!C28</f>
        <v>IN_SHUTTLE_P1_STEP_ID</v>
      </c>
      <c r="C28">
        <f>Sheet1!E28</f>
        <v>21</v>
      </c>
      <c r="D28" t="s">
        <v>14</v>
      </c>
      <c r="E28" t="str">
        <f>Sheet1!Y28</f>
        <v>IN SHUTTLE</v>
      </c>
      <c r="F28" t="str">
        <f>Sheet1!G28</f>
        <v xml:space="preserve"> </v>
      </c>
      <c r="G28">
        <f>Sheet1!I28</f>
        <v>0</v>
      </c>
      <c r="H28">
        <f>Sheet1!K28</f>
        <v>2</v>
      </c>
      <c r="I28" t="str">
        <f>Sheet1!M28</f>
        <v>N/A</v>
      </c>
      <c r="J28" t="str">
        <f>Sheet1!O28</f>
        <v>N/A</v>
      </c>
      <c r="K28" t="str">
        <f>Sheet1!Q28</f>
        <v>N/A</v>
      </c>
      <c r="L28" t="str">
        <f>Sheet1!W28</f>
        <v>INTEGER</v>
      </c>
      <c r="M28" t="s">
        <v>14</v>
      </c>
      <c r="N28" t="str">
        <f>Sheet1!S28</f>
        <v>IN_SHUTTLE_P1_STEP_ID</v>
      </c>
      <c r="O28" t="str">
        <f>Sheet1!U28</f>
        <v>IN SHUTTLE #1의 STEP ID</v>
      </c>
    </row>
    <row r="29" spans="1:15" x14ac:dyDescent="0.45">
      <c r="A29">
        <f>Sheet1!A29</f>
        <v>10027</v>
      </c>
      <c r="B29" t="str">
        <f>Sheet1!C29</f>
        <v>IN_SHUTTLE_P1_VACUUM_PRESSURE</v>
      </c>
      <c r="C29">
        <f>Sheet1!E29</f>
        <v>29</v>
      </c>
      <c r="D29" t="s">
        <v>14</v>
      </c>
      <c r="E29" t="str">
        <f>Sheet1!Y29</f>
        <v>IN SHUTTLE</v>
      </c>
      <c r="F29" t="str">
        <f>Sheet1!G29</f>
        <v>kPa</v>
      </c>
      <c r="G29">
        <f>Sheet1!I29</f>
        <v>-70</v>
      </c>
      <c r="H29">
        <f>Sheet1!K29</f>
        <v>0</v>
      </c>
      <c r="I29">
        <f>Sheet1!M29</f>
        <v>-60</v>
      </c>
      <c r="J29">
        <f>Sheet1!O29</f>
        <v>-50</v>
      </c>
      <c r="K29">
        <f>Sheet1!Q29</f>
        <v>-40</v>
      </c>
      <c r="L29" t="str">
        <f>Sheet1!W29</f>
        <v>FLOAT</v>
      </c>
      <c r="M29" t="s">
        <v>14</v>
      </c>
      <c r="N29" t="str">
        <f>Sheet1!S29</f>
        <v>IN_SHUTTLE_P1_VACUUM_PRESSURE</v>
      </c>
      <c r="O29" t="str">
        <f>Sheet1!U29</f>
        <v>IN SHUTTLE #1의 모듈 흡착용 Vacuum 압력값</v>
      </c>
    </row>
    <row r="30" spans="1:15" x14ac:dyDescent="0.45">
      <c r="A30">
        <f>Sheet1!A30</f>
        <v>10028</v>
      </c>
      <c r="B30" t="str">
        <f>Sheet1!C30</f>
        <v>IN_SHUTTLE_P2_CELL_ID</v>
      </c>
      <c r="C30">
        <f>Sheet1!E30</f>
        <v>21</v>
      </c>
      <c r="D30" t="s">
        <v>14</v>
      </c>
      <c r="E30" t="str">
        <f>Sheet1!Y30</f>
        <v>IN SHUTTLE</v>
      </c>
      <c r="F30" t="str">
        <f>Sheet1!G30</f>
        <v xml:space="preserve"> </v>
      </c>
      <c r="G30" t="str">
        <f>Sheet1!I30</f>
        <v>N/A</v>
      </c>
      <c r="H30" t="str">
        <f>Sheet1!K30</f>
        <v>N/A</v>
      </c>
      <c r="I30" t="str">
        <f>Sheet1!M30</f>
        <v>N/A</v>
      </c>
      <c r="J30" t="str">
        <f>Sheet1!O30</f>
        <v>N/A</v>
      </c>
      <c r="K30" t="str">
        <f>Sheet1!Q30</f>
        <v>N/A</v>
      </c>
      <c r="L30" t="str">
        <f>Sheet1!W30</f>
        <v>STRING</v>
      </c>
      <c r="M30" t="s">
        <v>14</v>
      </c>
      <c r="N30" t="str">
        <f>Sheet1!S30</f>
        <v>IN_SHUTTLE_P2_CELL_ID</v>
      </c>
      <c r="O30" t="str">
        <f>Sheet1!U30</f>
        <v>IN SHUTTLE #2의 CELL ID</v>
      </c>
    </row>
    <row r="31" spans="1:15" x14ac:dyDescent="0.45">
      <c r="A31">
        <f>Sheet1!A31</f>
        <v>10029</v>
      </c>
      <c r="B31" t="str">
        <f>Sheet1!C31</f>
        <v>IN_SHUTTLE_P2_STEP_ID</v>
      </c>
      <c r="C31">
        <f>Sheet1!E31</f>
        <v>21</v>
      </c>
      <c r="D31" t="s">
        <v>14</v>
      </c>
      <c r="E31" t="str">
        <f>Sheet1!Y31</f>
        <v>IN SHUTTLE</v>
      </c>
      <c r="F31" t="str">
        <f>Sheet1!G31</f>
        <v xml:space="preserve"> </v>
      </c>
      <c r="G31">
        <f>Sheet1!I31</f>
        <v>0</v>
      </c>
      <c r="H31">
        <f>Sheet1!K31</f>
        <v>2</v>
      </c>
      <c r="I31" t="str">
        <f>Sheet1!M31</f>
        <v>N/A</v>
      </c>
      <c r="J31" t="str">
        <f>Sheet1!O31</f>
        <v>N/A</v>
      </c>
      <c r="K31" t="str">
        <f>Sheet1!Q31</f>
        <v>N/A</v>
      </c>
      <c r="L31" t="str">
        <f>Sheet1!W31</f>
        <v>INTEGER</v>
      </c>
      <c r="M31" t="s">
        <v>14</v>
      </c>
      <c r="N31" t="str">
        <f>Sheet1!S31</f>
        <v>IN_SHUTTLE_P2_STEP_ID</v>
      </c>
      <c r="O31" t="str">
        <f>Sheet1!U31</f>
        <v>IN SHUTTLE #2의 STEP ID</v>
      </c>
    </row>
    <row r="32" spans="1:15" x14ac:dyDescent="0.45">
      <c r="A32">
        <f>Sheet1!A32</f>
        <v>10030</v>
      </c>
      <c r="B32" t="str">
        <f>Sheet1!C32</f>
        <v>IN_SHUTTLE_P2_VACUUM_PRESSURE</v>
      </c>
      <c r="C32">
        <f>Sheet1!E32</f>
        <v>29</v>
      </c>
      <c r="D32" t="s">
        <v>14</v>
      </c>
      <c r="E32" t="str">
        <f>Sheet1!Y32</f>
        <v>IN SHUTTLE</v>
      </c>
      <c r="F32" t="str">
        <f>Sheet1!G32</f>
        <v>kPa</v>
      </c>
      <c r="G32">
        <f>Sheet1!I32</f>
        <v>-70</v>
      </c>
      <c r="H32">
        <f>Sheet1!K32</f>
        <v>0</v>
      </c>
      <c r="I32">
        <f>Sheet1!M32</f>
        <v>-60</v>
      </c>
      <c r="J32">
        <f>Sheet1!O32</f>
        <v>-50</v>
      </c>
      <c r="K32">
        <f>Sheet1!Q32</f>
        <v>-40</v>
      </c>
      <c r="L32" t="str">
        <f>Sheet1!W32</f>
        <v>FLOAT</v>
      </c>
      <c r="M32" t="s">
        <v>14</v>
      </c>
      <c r="N32" t="str">
        <f>Sheet1!S32</f>
        <v>IN_SHUTTLE_P2_VACUUM_PRESSURE</v>
      </c>
      <c r="O32" t="str">
        <f>Sheet1!U32</f>
        <v>IN SHUTTLE #2의 모듈 흡착용 Vacuum 압력값</v>
      </c>
    </row>
    <row r="33" spans="1:15" x14ac:dyDescent="0.45">
      <c r="A33">
        <f>Sheet1!A33</f>
        <v>10031</v>
      </c>
      <c r="B33" t="str">
        <f>Sheet1!C33</f>
        <v>IN_ROBOT_P1_CELL_ID</v>
      </c>
      <c r="C33">
        <f>Sheet1!E33</f>
        <v>19</v>
      </c>
      <c r="D33" t="s">
        <v>14</v>
      </c>
      <c r="E33" t="str">
        <f>Sheet1!Y33</f>
        <v>IN ROBOT</v>
      </c>
      <c r="F33" t="str">
        <f>Sheet1!G33</f>
        <v xml:space="preserve"> </v>
      </c>
      <c r="G33">
        <f>Sheet1!I33</f>
        <v>0</v>
      </c>
      <c r="H33">
        <f>Sheet1!K33</f>
        <v>2</v>
      </c>
      <c r="I33" t="str">
        <f>Sheet1!M33</f>
        <v>N/A</v>
      </c>
      <c r="J33" t="str">
        <f>Sheet1!O33</f>
        <v>N/A</v>
      </c>
      <c r="K33" t="str">
        <f>Sheet1!Q33</f>
        <v>N/A</v>
      </c>
      <c r="L33" t="str">
        <f>Sheet1!W33</f>
        <v>STRING</v>
      </c>
      <c r="M33" t="s">
        <v>14</v>
      </c>
      <c r="N33" t="str">
        <f>Sheet1!S33</f>
        <v>IN_ROBOT_P1_CELL_ID</v>
      </c>
      <c r="O33" t="str">
        <f>Sheet1!U33</f>
        <v>IN ROBOT #1의 CELL ID</v>
      </c>
    </row>
    <row r="34" spans="1:15" x14ac:dyDescent="0.45">
      <c r="A34">
        <f>Sheet1!A34</f>
        <v>10032</v>
      </c>
      <c r="B34" t="str">
        <f>Sheet1!C34</f>
        <v>IN_ROBOT_P1_STEP_ID</v>
      </c>
      <c r="C34">
        <f>Sheet1!E34</f>
        <v>19</v>
      </c>
      <c r="D34" t="s">
        <v>14</v>
      </c>
      <c r="E34" t="str">
        <f>Sheet1!Y34</f>
        <v>IN ROBOT</v>
      </c>
      <c r="F34" t="str">
        <f>Sheet1!G34</f>
        <v xml:space="preserve"> </v>
      </c>
      <c r="G34" t="str">
        <f>Sheet1!I34</f>
        <v>N/A</v>
      </c>
      <c r="H34" t="str">
        <f>Sheet1!K34</f>
        <v>N/A</v>
      </c>
      <c r="I34" t="str">
        <f>Sheet1!M34</f>
        <v>N/A</v>
      </c>
      <c r="J34" t="str">
        <f>Sheet1!O34</f>
        <v>N/A</v>
      </c>
      <c r="K34" t="str">
        <f>Sheet1!Q34</f>
        <v>N/A</v>
      </c>
      <c r="L34" t="str">
        <f>Sheet1!W34</f>
        <v>INTEGER</v>
      </c>
      <c r="M34" t="s">
        <v>14</v>
      </c>
      <c r="N34" t="str">
        <f>Sheet1!S34</f>
        <v>IN_ROBOT_P1_STEP_ID</v>
      </c>
      <c r="O34" t="str">
        <f>Sheet1!U34</f>
        <v>IN ROBOT #1의 STEP ID</v>
      </c>
    </row>
    <row r="35" spans="1:15" x14ac:dyDescent="0.45">
      <c r="A35">
        <f>Sheet1!A35</f>
        <v>10033</v>
      </c>
      <c r="B35" t="str">
        <f>Sheet1!C35</f>
        <v>IN_ROBOT_P1_VACUUM_PRESSURE</v>
      </c>
      <c r="C35">
        <f>Sheet1!E35</f>
        <v>27</v>
      </c>
      <c r="D35" t="s">
        <v>14</v>
      </c>
      <c r="E35" t="str">
        <f>Sheet1!Y35</f>
        <v>IN ROBOT</v>
      </c>
      <c r="F35" t="str">
        <f>Sheet1!G35</f>
        <v>kPa</v>
      </c>
      <c r="G35">
        <f>Sheet1!I35</f>
        <v>-70</v>
      </c>
      <c r="H35">
        <f>Sheet1!K35</f>
        <v>0</v>
      </c>
      <c r="I35">
        <f>Sheet1!M35</f>
        <v>-60</v>
      </c>
      <c r="J35">
        <f>Sheet1!O35</f>
        <v>-50</v>
      </c>
      <c r="K35">
        <f>Sheet1!Q35</f>
        <v>-40</v>
      </c>
      <c r="L35" t="str">
        <f>Sheet1!W35</f>
        <v>FLOAT</v>
      </c>
      <c r="M35" t="s">
        <v>14</v>
      </c>
      <c r="N35" t="str">
        <f>Sheet1!S35</f>
        <v>IN_ROBOT_P1_VACUUM_PRESSURE</v>
      </c>
      <c r="O35" t="str">
        <f>Sheet1!U35</f>
        <v>IN ROBOT #1의 모듈 흡착용 Vacuum 압력값</v>
      </c>
    </row>
    <row r="36" spans="1:15" x14ac:dyDescent="0.45">
      <c r="A36">
        <f>Sheet1!A36</f>
        <v>10034</v>
      </c>
      <c r="B36" t="str">
        <f>Sheet1!C36</f>
        <v>IN_ROBOT_P2_CELL_ID</v>
      </c>
      <c r="C36">
        <f>Sheet1!E36</f>
        <v>19</v>
      </c>
      <c r="D36" t="s">
        <v>14</v>
      </c>
      <c r="E36" t="str">
        <f>Sheet1!Y36</f>
        <v>IN ROBOT</v>
      </c>
      <c r="F36" t="str">
        <f>Sheet1!G36</f>
        <v xml:space="preserve"> </v>
      </c>
      <c r="G36">
        <f>Sheet1!I36</f>
        <v>0</v>
      </c>
      <c r="H36">
        <f>Sheet1!K36</f>
        <v>2</v>
      </c>
      <c r="I36" t="str">
        <f>Sheet1!M36</f>
        <v>N/A</v>
      </c>
      <c r="J36" t="str">
        <f>Sheet1!O36</f>
        <v>N/A</v>
      </c>
      <c r="K36" t="str">
        <f>Sheet1!Q36</f>
        <v>N/A</v>
      </c>
      <c r="L36" t="str">
        <f>Sheet1!W36</f>
        <v>STRING</v>
      </c>
      <c r="M36" t="s">
        <v>14</v>
      </c>
      <c r="N36" t="str">
        <f>Sheet1!S36</f>
        <v>IN_ROBOT_P2_CELL_ID</v>
      </c>
      <c r="O36" t="str">
        <f>Sheet1!U36</f>
        <v>IN ROBOT #2의 CELL ID</v>
      </c>
    </row>
    <row r="37" spans="1:15" x14ac:dyDescent="0.45">
      <c r="A37">
        <f>Sheet1!A37</f>
        <v>10035</v>
      </c>
      <c r="B37" t="str">
        <f>Sheet1!C37</f>
        <v>IN_ROBOT_P2_STEP_ID</v>
      </c>
      <c r="C37">
        <f>Sheet1!E37</f>
        <v>19</v>
      </c>
      <c r="D37" t="s">
        <v>14</v>
      </c>
      <c r="E37" t="str">
        <f>Sheet1!Y37</f>
        <v>IN ROBOT</v>
      </c>
      <c r="F37" t="str">
        <f>Sheet1!G37</f>
        <v xml:space="preserve"> </v>
      </c>
      <c r="G37" t="str">
        <f>Sheet1!I37</f>
        <v>N/A</v>
      </c>
      <c r="H37" t="str">
        <f>Sheet1!K37</f>
        <v>N/A</v>
      </c>
      <c r="I37" t="str">
        <f>Sheet1!M37</f>
        <v>N/A</v>
      </c>
      <c r="J37" t="str">
        <f>Sheet1!O37</f>
        <v>N/A</v>
      </c>
      <c r="K37" t="str">
        <f>Sheet1!Q37</f>
        <v>N/A</v>
      </c>
      <c r="L37" t="str">
        <f>Sheet1!W37</f>
        <v>INTEGER</v>
      </c>
      <c r="M37" t="s">
        <v>14</v>
      </c>
      <c r="N37" t="str">
        <f>Sheet1!S37</f>
        <v>IN_ROBOT_P2_STEP_ID</v>
      </c>
      <c r="O37" t="str">
        <f>Sheet1!U37</f>
        <v>IN ROBOT #2의 STEP ID</v>
      </c>
    </row>
    <row r="38" spans="1:15" x14ac:dyDescent="0.45">
      <c r="A38">
        <f>Sheet1!A38</f>
        <v>10036</v>
      </c>
      <c r="B38" t="str">
        <f>Sheet1!C38</f>
        <v>IN_ROBOT_P2_VACUUM_PRESSURE</v>
      </c>
      <c r="C38">
        <f>Sheet1!E38</f>
        <v>27</v>
      </c>
      <c r="D38" t="s">
        <v>14</v>
      </c>
      <c r="E38" t="str">
        <f>Sheet1!Y38</f>
        <v>IN ROBOT</v>
      </c>
      <c r="F38" t="str">
        <f>Sheet1!G38</f>
        <v>kPa</v>
      </c>
      <c r="G38">
        <f>Sheet1!I38</f>
        <v>-70</v>
      </c>
      <c r="H38">
        <f>Sheet1!K38</f>
        <v>0</v>
      </c>
      <c r="I38">
        <f>Sheet1!M38</f>
        <v>-60</v>
      </c>
      <c r="J38">
        <f>Sheet1!O38</f>
        <v>-50</v>
      </c>
      <c r="K38">
        <f>Sheet1!Q38</f>
        <v>-40</v>
      </c>
      <c r="L38" t="str">
        <f>Sheet1!W38</f>
        <v>FLOAT</v>
      </c>
      <c r="M38" t="s">
        <v>14</v>
      </c>
      <c r="N38" t="str">
        <f>Sheet1!S38</f>
        <v>IN_ROBOT_P2_VACUUM_PRESSURE</v>
      </c>
      <c r="O38" t="str">
        <f>Sheet1!U38</f>
        <v>IN ROBOT #2의 모듈 흡착용 Vacuum 압력값</v>
      </c>
    </row>
    <row r="39" spans="1:15" x14ac:dyDescent="0.45">
      <c r="A39">
        <f>Sheet1!A39</f>
        <v>10037</v>
      </c>
      <c r="B39" t="str">
        <f>Sheet1!C39</f>
        <v>INSP_STAGE_P1_CELL_ID</v>
      </c>
      <c r="C39">
        <f>Sheet1!E39</f>
        <v>21</v>
      </c>
      <c r="D39" t="s">
        <v>14</v>
      </c>
      <c r="E39" t="str">
        <f>Sheet1!Y39</f>
        <v>INSP STAGE</v>
      </c>
      <c r="F39" t="str">
        <f>Sheet1!G39</f>
        <v xml:space="preserve"> </v>
      </c>
      <c r="G39" t="str">
        <f>Sheet1!I39</f>
        <v>N/A</v>
      </c>
      <c r="H39" t="str">
        <f>Sheet1!K39</f>
        <v>N/A</v>
      </c>
      <c r="I39" t="str">
        <f>Sheet1!M39</f>
        <v>N/A</v>
      </c>
      <c r="J39" t="str">
        <f>Sheet1!O39</f>
        <v>N/A</v>
      </c>
      <c r="K39" t="str">
        <f>Sheet1!Q39</f>
        <v>N/A</v>
      </c>
      <c r="L39" t="str">
        <f>Sheet1!W39</f>
        <v>STRING</v>
      </c>
      <c r="M39" t="s">
        <v>14</v>
      </c>
      <c r="N39" t="str">
        <f>Sheet1!S39</f>
        <v>INSP_STAGE_P1_CELL_ID</v>
      </c>
      <c r="O39" t="str">
        <f>Sheet1!U39</f>
        <v>INSP STAGE #1의 CELL ID</v>
      </c>
    </row>
    <row r="40" spans="1:15" x14ac:dyDescent="0.45">
      <c r="A40">
        <f>Sheet1!A40</f>
        <v>10038</v>
      </c>
      <c r="B40" t="str">
        <f>Sheet1!C40</f>
        <v>INSP_STAGE_P1_STEP_ID</v>
      </c>
      <c r="C40">
        <f>Sheet1!E40</f>
        <v>21</v>
      </c>
      <c r="D40" t="s">
        <v>14</v>
      </c>
      <c r="E40" t="str">
        <f>Sheet1!Y40</f>
        <v>INSP STAGE</v>
      </c>
      <c r="F40" t="str">
        <f>Sheet1!G40</f>
        <v xml:space="preserve"> </v>
      </c>
      <c r="G40">
        <f>Sheet1!I40</f>
        <v>0</v>
      </c>
      <c r="H40">
        <f>Sheet1!K40</f>
        <v>2</v>
      </c>
      <c r="I40" t="str">
        <f>Sheet1!M40</f>
        <v>N/A</v>
      </c>
      <c r="J40" t="str">
        <f>Sheet1!O40</f>
        <v>N/A</v>
      </c>
      <c r="K40" t="str">
        <f>Sheet1!Q40</f>
        <v>N/A</v>
      </c>
      <c r="L40" t="str">
        <f>Sheet1!W40</f>
        <v>INTEGER</v>
      </c>
      <c r="M40" t="s">
        <v>14</v>
      </c>
      <c r="N40" t="str">
        <f>Sheet1!S40</f>
        <v>INSP_STAGE_P1_STEP_ID</v>
      </c>
      <c r="O40" t="str">
        <f>Sheet1!U40</f>
        <v>INSP STAGE #1의 STEP ID</v>
      </c>
    </row>
    <row r="41" spans="1:15" x14ac:dyDescent="0.45">
      <c r="A41">
        <f>Sheet1!A41</f>
        <v>10039</v>
      </c>
      <c r="B41" t="str">
        <f>Sheet1!C41</f>
        <v>INSP_STAGE_P1_VACUUM_PRESSURE</v>
      </c>
      <c r="C41">
        <f>Sheet1!E41</f>
        <v>29</v>
      </c>
      <c r="D41" t="s">
        <v>14</v>
      </c>
      <c r="E41" t="str">
        <f>Sheet1!Y41</f>
        <v>INSP STAGE</v>
      </c>
      <c r="F41" t="str">
        <f>Sheet1!G41</f>
        <v>kPa</v>
      </c>
      <c r="G41">
        <f>Sheet1!I41</f>
        <v>-70</v>
      </c>
      <c r="H41">
        <f>Sheet1!K41</f>
        <v>0</v>
      </c>
      <c r="I41">
        <f>Sheet1!M41</f>
        <v>-60</v>
      </c>
      <c r="J41">
        <f>Sheet1!O41</f>
        <v>-50</v>
      </c>
      <c r="K41">
        <f>Sheet1!Q41</f>
        <v>-40</v>
      </c>
      <c r="L41" t="str">
        <f>Sheet1!W41</f>
        <v>FLOAT</v>
      </c>
      <c r="M41" t="s">
        <v>14</v>
      </c>
      <c r="N41" t="str">
        <f>Sheet1!S41</f>
        <v>INSP_STAGE_P1_VACUUM_PRESSURE</v>
      </c>
      <c r="O41" t="str">
        <f>Sheet1!U41</f>
        <v>INSP STAGE #1의 모듈 흡착용 Vacuum 압력값</v>
      </c>
    </row>
    <row r="42" spans="1:15" x14ac:dyDescent="0.45">
      <c r="A42">
        <f>Sheet1!A42</f>
        <v>10040</v>
      </c>
      <c r="B42" t="str">
        <f>Sheet1!C42</f>
        <v>INSP_STAGE_P2_CELL_ID</v>
      </c>
      <c r="C42">
        <f>Sheet1!E42</f>
        <v>21</v>
      </c>
      <c r="D42" t="s">
        <v>14</v>
      </c>
      <c r="E42" t="str">
        <f>Sheet1!Y42</f>
        <v>INSP STAGE</v>
      </c>
      <c r="F42" t="str">
        <f>Sheet1!G42</f>
        <v xml:space="preserve"> </v>
      </c>
      <c r="G42" t="str">
        <f>Sheet1!I42</f>
        <v>N/A</v>
      </c>
      <c r="H42" t="str">
        <f>Sheet1!K42</f>
        <v>N/A</v>
      </c>
      <c r="I42" t="str">
        <f>Sheet1!M42</f>
        <v>N/A</v>
      </c>
      <c r="J42" t="str">
        <f>Sheet1!O42</f>
        <v>N/A</v>
      </c>
      <c r="K42" t="str">
        <f>Sheet1!Q42</f>
        <v>N/A</v>
      </c>
      <c r="L42" t="str">
        <f>Sheet1!W42</f>
        <v>STRING</v>
      </c>
      <c r="M42" t="s">
        <v>14</v>
      </c>
      <c r="N42" t="str">
        <f>Sheet1!S42</f>
        <v>INSP_STAGE_P2_CELL_ID</v>
      </c>
      <c r="O42" t="str">
        <f>Sheet1!U42</f>
        <v>INSP STAGE #2의 CELL ID</v>
      </c>
    </row>
    <row r="43" spans="1:15" x14ac:dyDescent="0.45">
      <c r="A43">
        <f>Sheet1!A43</f>
        <v>10041</v>
      </c>
      <c r="B43" t="str">
        <f>Sheet1!C43</f>
        <v>INSP_STAGE_P2_STEP_ID</v>
      </c>
      <c r="C43">
        <f>Sheet1!E43</f>
        <v>21</v>
      </c>
      <c r="D43" t="s">
        <v>14</v>
      </c>
      <c r="E43" t="str">
        <f>Sheet1!Y43</f>
        <v>INSP STAGE</v>
      </c>
      <c r="F43" t="str">
        <f>Sheet1!G43</f>
        <v xml:space="preserve"> </v>
      </c>
      <c r="G43">
        <f>Sheet1!I43</f>
        <v>0</v>
      </c>
      <c r="H43">
        <f>Sheet1!K43</f>
        <v>2</v>
      </c>
      <c r="I43" t="str">
        <f>Sheet1!M43</f>
        <v>N/A</v>
      </c>
      <c r="J43" t="str">
        <f>Sheet1!O43</f>
        <v>N/A</v>
      </c>
      <c r="K43" t="str">
        <f>Sheet1!Q43</f>
        <v>N/A</v>
      </c>
      <c r="L43" t="str">
        <f>Sheet1!W43</f>
        <v>INTEGER</v>
      </c>
      <c r="M43" t="s">
        <v>14</v>
      </c>
      <c r="N43" t="str">
        <f>Sheet1!S43</f>
        <v>INSP_STAGE_P2_STEP_ID</v>
      </c>
      <c r="O43" t="str">
        <f>Sheet1!U43</f>
        <v>INSP STAGE #2의 STEP ID</v>
      </c>
    </row>
    <row r="44" spans="1:15" x14ac:dyDescent="0.45">
      <c r="A44">
        <f>Sheet1!A44</f>
        <v>10042</v>
      </c>
      <c r="B44" t="str">
        <f>Sheet1!C44</f>
        <v>INSP_STAGE_P2_VACUUM_PRESSURE</v>
      </c>
      <c r="C44">
        <f>Sheet1!E44</f>
        <v>29</v>
      </c>
      <c r="D44" t="s">
        <v>14</v>
      </c>
      <c r="E44" t="str">
        <f>Sheet1!Y44</f>
        <v>INSP STAGE</v>
      </c>
      <c r="F44" t="str">
        <f>Sheet1!G44</f>
        <v>kPa</v>
      </c>
      <c r="G44">
        <f>Sheet1!I44</f>
        <v>-70</v>
      </c>
      <c r="H44">
        <f>Sheet1!K44</f>
        <v>0</v>
      </c>
      <c r="I44">
        <f>Sheet1!M44</f>
        <v>-60</v>
      </c>
      <c r="J44">
        <f>Sheet1!O44</f>
        <v>-50</v>
      </c>
      <c r="K44">
        <f>Sheet1!Q44</f>
        <v>-40</v>
      </c>
      <c r="L44" t="str">
        <f>Sheet1!W44</f>
        <v>FLOAT</v>
      </c>
      <c r="M44" t="s">
        <v>14</v>
      </c>
      <c r="N44" t="str">
        <f>Sheet1!S44</f>
        <v>INSP_STAGE_P2_VACUUM_PRESSURE</v>
      </c>
      <c r="O44" t="str">
        <f>Sheet1!U44</f>
        <v>INSP STAGE #2의 모듈 흡착용 Vacuum 압력값</v>
      </c>
    </row>
    <row r="45" spans="1:15" x14ac:dyDescent="0.45">
      <c r="A45">
        <f>Sheet1!A45</f>
        <v>10043</v>
      </c>
      <c r="B45" t="str">
        <f>Sheet1!C45</f>
        <v>OUT_ROBOT_P1_CELL_ID</v>
      </c>
      <c r="C45">
        <f>Sheet1!E45</f>
        <v>20</v>
      </c>
      <c r="D45" t="s">
        <v>14</v>
      </c>
      <c r="E45" t="str">
        <f>Sheet1!Y45</f>
        <v>OUT ROBOT</v>
      </c>
      <c r="F45" t="str">
        <f>Sheet1!G45</f>
        <v xml:space="preserve"> </v>
      </c>
      <c r="G45" t="str">
        <f>Sheet1!I45</f>
        <v>N/A</v>
      </c>
      <c r="H45" t="str">
        <f>Sheet1!K45</f>
        <v>N/A</v>
      </c>
      <c r="I45" t="str">
        <f>Sheet1!M45</f>
        <v>N/A</v>
      </c>
      <c r="J45" t="str">
        <f>Sheet1!O45</f>
        <v>N/A</v>
      </c>
      <c r="K45" t="str">
        <f>Sheet1!Q45</f>
        <v>N/A</v>
      </c>
      <c r="L45" t="str">
        <f>Sheet1!W45</f>
        <v>STRING</v>
      </c>
      <c r="M45" t="s">
        <v>14</v>
      </c>
      <c r="N45" t="str">
        <f>Sheet1!S45</f>
        <v>OUT_ROBOT_P1_CELL_ID</v>
      </c>
      <c r="O45" t="str">
        <f>Sheet1!U45</f>
        <v>OUT ROBOT #1의 CELL ID</v>
      </c>
    </row>
    <row r="46" spans="1:15" x14ac:dyDescent="0.45">
      <c r="A46">
        <f>Sheet1!A46</f>
        <v>10044</v>
      </c>
      <c r="B46" t="str">
        <f>Sheet1!C46</f>
        <v>OUT_ROBOT_P1_STEP_ID</v>
      </c>
      <c r="C46">
        <f>Sheet1!E46</f>
        <v>20</v>
      </c>
      <c r="D46" t="s">
        <v>14</v>
      </c>
      <c r="E46" t="str">
        <f>Sheet1!Y46</f>
        <v>OUT ROBOT</v>
      </c>
      <c r="F46" t="str">
        <f>Sheet1!G46</f>
        <v xml:space="preserve"> </v>
      </c>
      <c r="G46">
        <f>Sheet1!I46</f>
        <v>0</v>
      </c>
      <c r="H46">
        <f>Sheet1!K46</f>
        <v>2</v>
      </c>
      <c r="I46" t="str">
        <f>Sheet1!M46</f>
        <v>N/A</v>
      </c>
      <c r="J46" t="str">
        <f>Sheet1!O46</f>
        <v>N/A</v>
      </c>
      <c r="K46" t="str">
        <f>Sheet1!Q46</f>
        <v>N/A</v>
      </c>
      <c r="L46" t="str">
        <f>Sheet1!W46</f>
        <v>INTEGER</v>
      </c>
      <c r="M46" t="s">
        <v>14</v>
      </c>
      <c r="N46" t="str">
        <f>Sheet1!S46</f>
        <v>OUT_ROBOT_P1_STEP_ID</v>
      </c>
      <c r="O46" t="str">
        <f>Sheet1!U46</f>
        <v>OUT ROBOT #1의 STEP ID</v>
      </c>
    </row>
    <row r="47" spans="1:15" x14ac:dyDescent="0.45">
      <c r="A47">
        <f>Sheet1!A47</f>
        <v>10045</v>
      </c>
      <c r="B47" t="str">
        <f>Sheet1!C47</f>
        <v>OUT_ROBOT_P1_VACUUM_PRESSURE</v>
      </c>
      <c r="C47">
        <f>Sheet1!E47</f>
        <v>28</v>
      </c>
      <c r="D47" t="s">
        <v>14</v>
      </c>
      <c r="E47" t="str">
        <f>Sheet1!Y47</f>
        <v>OUT ROBOT</v>
      </c>
      <c r="F47" t="str">
        <f>Sheet1!G47</f>
        <v>kPa</v>
      </c>
      <c r="G47">
        <f>Sheet1!I47</f>
        <v>-70</v>
      </c>
      <c r="H47">
        <f>Sheet1!K47</f>
        <v>0</v>
      </c>
      <c r="I47">
        <f>Sheet1!M47</f>
        <v>-60</v>
      </c>
      <c r="J47">
        <f>Sheet1!O47</f>
        <v>-50</v>
      </c>
      <c r="K47">
        <f>Sheet1!Q47</f>
        <v>-40</v>
      </c>
      <c r="L47" t="str">
        <f>Sheet1!W47</f>
        <v>FLOAT</v>
      </c>
      <c r="M47" t="s">
        <v>14</v>
      </c>
      <c r="N47" t="str">
        <f>Sheet1!S47</f>
        <v>OUT_ROBOT_P1_VACUUM_PRESSURE</v>
      </c>
      <c r="O47" t="str">
        <f>Sheet1!U47</f>
        <v>OUT ROBOT #1의 모듈 흡착용 Vacuum 압력값</v>
      </c>
    </row>
    <row r="48" spans="1:15" x14ac:dyDescent="0.45">
      <c r="A48">
        <f>Sheet1!A48</f>
        <v>10046</v>
      </c>
      <c r="B48" t="str">
        <f>Sheet1!C48</f>
        <v>OUT_ROBOT_P2_CELL_ID</v>
      </c>
      <c r="C48">
        <f>Sheet1!E48</f>
        <v>20</v>
      </c>
      <c r="D48" t="s">
        <v>14</v>
      </c>
      <c r="E48" t="str">
        <f>Sheet1!Y48</f>
        <v>OUT ROBOT</v>
      </c>
      <c r="F48" t="str">
        <f>Sheet1!G48</f>
        <v xml:space="preserve"> </v>
      </c>
      <c r="G48" t="str">
        <f>Sheet1!I48</f>
        <v>N/A</v>
      </c>
      <c r="H48" t="str">
        <f>Sheet1!K48</f>
        <v>N/A</v>
      </c>
      <c r="I48" t="str">
        <f>Sheet1!M48</f>
        <v>N/A</v>
      </c>
      <c r="J48" t="str">
        <f>Sheet1!O48</f>
        <v>N/A</v>
      </c>
      <c r="K48" t="str">
        <f>Sheet1!Q48</f>
        <v>N/A</v>
      </c>
      <c r="L48" t="str">
        <f>Sheet1!W48</f>
        <v>STRING</v>
      </c>
      <c r="M48" t="s">
        <v>14</v>
      </c>
      <c r="N48" t="str">
        <f>Sheet1!S48</f>
        <v>OUT_ROBOT_P2_CELL_ID</v>
      </c>
      <c r="O48" t="str">
        <f>Sheet1!U48</f>
        <v>OUT ROBOT #2의 CELL ID</v>
      </c>
    </row>
    <row r="49" spans="1:15" x14ac:dyDescent="0.45">
      <c r="A49">
        <f>Sheet1!A49</f>
        <v>10047</v>
      </c>
      <c r="B49" t="str">
        <f>Sheet1!C49</f>
        <v>OUT_ROBOT_P2_STEP_ID</v>
      </c>
      <c r="C49">
        <f>Sheet1!E49</f>
        <v>20</v>
      </c>
      <c r="D49" t="s">
        <v>14</v>
      </c>
      <c r="E49" t="str">
        <f>Sheet1!Y49</f>
        <v>OUT ROBOT</v>
      </c>
      <c r="F49" t="str">
        <f>Sheet1!G49</f>
        <v xml:space="preserve"> </v>
      </c>
      <c r="G49">
        <f>Sheet1!I49</f>
        <v>0</v>
      </c>
      <c r="H49">
        <f>Sheet1!K49</f>
        <v>2</v>
      </c>
      <c r="I49" t="str">
        <f>Sheet1!M49</f>
        <v>N/A</v>
      </c>
      <c r="J49" t="str">
        <f>Sheet1!O49</f>
        <v>N/A</v>
      </c>
      <c r="K49" t="str">
        <f>Sheet1!Q49</f>
        <v>N/A</v>
      </c>
      <c r="L49" t="str">
        <f>Sheet1!W49</f>
        <v>INTEGER</v>
      </c>
      <c r="M49" t="s">
        <v>14</v>
      </c>
      <c r="N49" t="str">
        <f>Sheet1!S49</f>
        <v>OUT_ROBOT_P2_STEP_ID</v>
      </c>
      <c r="O49" t="str">
        <f>Sheet1!U49</f>
        <v>OUT ROBOT #2의 STEP ID</v>
      </c>
    </row>
    <row r="50" spans="1:15" x14ac:dyDescent="0.45">
      <c r="A50">
        <f>Sheet1!A50</f>
        <v>10048</v>
      </c>
      <c r="B50" t="str">
        <f>Sheet1!C50</f>
        <v>OUT_ROBOT_P2_VACUUM_PRESSURE</v>
      </c>
      <c r="C50">
        <f>Sheet1!E50</f>
        <v>28</v>
      </c>
      <c r="D50" t="s">
        <v>14</v>
      </c>
      <c r="E50" t="str">
        <f>Sheet1!Y50</f>
        <v>OUT ROBOT</v>
      </c>
      <c r="F50" t="str">
        <f>Sheet1!G50</f>
        <v>kPa</v>
      </c>
      <c r="G50">
        <f>Sheet1!I50</f>
        <v>-70</v>
      </c>
      <c r="H50">
        <f>Sheet1!K50</f>
        <v>0</v>
      </c>
      <c r="I50">
        <f>Sheet1!M50</f>
        <v>-60</v>
      </c>
      <c r="J50">
        <f>Sheet1!O50</f>
        <v>-50</v>
      </c>
      <c r="K50">
        <f>Sheet1!Q50</f>
        <v>-40</v>
      </c>
      <c r="L50" t="str">
        <f>Sheet1!W50</f>
        <v>FLOAT</v>
      </c>
      <c r="M50" t="s">
        <v>14</v>
      </c>
      <c r="N50" t="str">
        <f>Sheet1!S50</f>
        <v>OUT_ROBOT_P2_VACUUM_PRESSURE</v>
      </c>
      <c r="O50" t="str">
        <f>Sheet1!U50</f>
        <v>OUT ROBOT #2의 모듈 흡착용 Vacuum 압력값</v>
      </c>
    </row>
    <row r="51" spans="1:15" x14ac:dyDescent="0.45">
      <c r="A51">
        <f>Sheet1!A51</f>
        <v>10049</v>
      </c>
      <c r="B51" t="str">
        <f>Sheet1!C51</f>
        <v>OUT_FLIP_P1_1_CELL_ID</v>
      </c>
      <c r="C51">
        <f>Sheet1!E51</f>
        <v>21</v>
      </c>
      <c r="D51" t="s">
        <v>14</v>
      </c>
      <c r="E51" t="str">
        <f>Sheet1!Y51</f>
        <v>OUT FLIP</v>
      </c>
      <c r="F51" t="str">
        <f>Sheet1!G51</f>
        <v xml:space="preserve"> </v>
      </c>
      <c r="G51" t="str">
        <f>Sheet1!I51</f>
        <v>N/A</v>
      </c>
      <c r="H51" t="str">
        <f>Sheet1!K51</f>
        <v>N/A</v>
      </c>
      <c r="I51" t="str">
        <f>Sheet1!M51</f>
        <v>N/A</v>
      </c>
      <c r="J51" t="str">
        <f>Sheet1!O51</f>
        <v>N/A</v>
      </c>
      <c r="K51" t="str">
        <f>Sheet1!Q51</f>
        <v>N/A</v>
      </c>
      <c r="L51" t="str">
        <f>Sheet1!W51</f>
        <v>STRING</v>
      </c>
      <c r="M51" t="s">
        <v>14</v>
      </c>
      <c r="N51" t="str">
        <f>Sheet1!S51</f>
        <v>OUT_FLIP_P1_1_CELL_ID</v>
      </c>
      <c r="O51" t="str">
        <f>Sheet1!U51</f>
        <v>OUT FLIP #1_1의 CELL ID</v>
      </c>
    </row>
    <row r="52" spans="1:15" x14ac:dyDescent="0.45">
      <c r="A52">
        <f>Sheet1!A52</f>
        <v>10050</v>
      </c>
      <c r="B52" t="str">
        <f>Sheet1!C52</f>
        <v>OUT_FLIP_P1_1_STEP_ID</v>
      </c>
      <c r="C52">
        <f>Sheet1!E52</f>
        <v>21</v>
      </c>
      <c r="D52" t="s">
        <v>14</v>
      </c>
      <c r="E52" t="str">
        <f>Sheet1!Y52</f>
        <v>OUT FLIP</v>
      </c>
      <c r="F52" t="str">
        <f>Sheet1!G52</f>
        <v xml:space="preserve"> </v>
      </c>
      <c r="G52">
        <f>Sheet1!I52</f>
        <v>0</v>
      </c>
      <c r="H52">
        <f>Sheet1!K52</f>
        <v>2</v>
      </c>
      <c r="I52" t="str">
        <f>Sheet1!M52</f>
        <v>N/A</v>
      </c>
      <c r="J52" t="str">
        <f>Sheet1!O52</f>
        <v>N/A</v>
      </c>
      <c r="K52" t="str">
        <f>Sheet1!Q52</f>
        <v>N/A</v>
      </c>
      <c r="L52" t="str">
        <f>Sheet1!W52</f>
        <v>INTEGER</v>
      </c>
      <c r="M52" t="s">
        <v>14</v>
      </c>
      <c r="N52" t="str">
        <f>Sheet1!S52</f>
        <v>OUT_FLIP_P1_1_STEP_ID</v>
      </c>
      <c r="O52" t="str">
        <f>Sheet1!U52</f>
        <v>OUT FLIP #1_1의 STEP ID</v>
      </c>
    </row>
    <row r="53" spans="1:15" x14ac:dyDescent="0.45">
      <c r="A53">
        <f>Sheet1!A53</f>
        <v>10051</v>
      </c>
      <c r="B53" t="str">
        <f>Sheet1!C53</f>
        <v>OUT_FLIP_P1_1_VACUUM_PRESSURE</v>
      </c>
      <c r="C53">
        <f>Sheet1!E53</f>
        <v>29</v>
      </c>
      <c r="D53" t="s">
        <v>14</v>
      </c>
      <c r="E53" t="str">
        <f>Sheet1!Y53</f>
        <v>OUT FLIP</v>
      </c>
      <c r="F53" t="str">
        <f>Sheet1!G53</f>
        <v>kPa</v>
      </c>
      <c r="G53">
        <f>Sheet1!I53</f>
        <v>-70</v>
      </c>
      <c r="H53">
        <f>Sheet1!K53</f>
        <v>0</v>
      </c>
      <c r="I53">
        <f>Sheet1!M53</f>
        <v>-60</v>
      </c>
      <c r="J53">
        <f>Sheet1!O53</f>
        <v>-50</v>
      </c>
      <c r="K53">
        <f>Sheet1!Q53</f>
        <v>-40</v>
      </c>
      <c r="L53" t="str">
        <f>Sheet1!W53</f>
        <v>FLOAT</v>
      </c>
      <c r="M53" t="s">
        <v>14</v>
      </c>
      <c r="N53" t="str">
        <f>Sheet1!S53</f>
        <v>OUT_FLIP_P1_1_VACUUM_PRESSURE</v>
      </c>
      <c r="O53" t="str">
        <f>Sheet1!U53</f>
        <v>OUT FLIP #1_1의 모듈 흡착용 Vacuum 압력값</v>
      </c>
    </row>
    <row r="54" spans="1:15" x14ac:dyDescent="0.45">
      <c r="A54">
        <f>Sheet1!A54</f>
        <v>10052</v>
      </c>
      <c r="B54" t="str">
        <f>Sheet1!C54</f>
        <v>OUT_FLIP_P1_2_CELL_ID</v>
      </c>
      <c r="C54">
        <f>Sheet1!E54</f>
        <v>21</v>
      </c>
      <c r="D54" t="s">
        <v>14</v>
      </c>
      <c r="E54" t="str">
        <f>Sheet1!Y54</f>
        <v>OUT FLIP</v>
      </c>
      <c r="F54" t="str">
        <f>Sheet1!G54</f>
        <v xml:space="preserve"> </v>
      </c>
      <c r="G54" t="str">
        <f>Sheet1!I54</f>
        <v>N/A</v>
      </c>
      <c r="H54" t="str">
        <f>Sheet1!K54</f>
        <v>N/A</v>
      </c>
      <c r="I54" t="str">
        <f>Sheet1!M54</f>
        <v>N/A</v>
      </c>
      <c r="J54" t="str">
        <f>Sheet1!O54</f>
        <v>N/A</v>
      </c>
      <c r="K54" t="str">
        <f>Sheet1!Q54</f>
        <v>N/A</v>
      </c>
      <c r="L54" t="str">
        <f>Sheet1!W54</f>
        <v>STRING</v>
      </c>
      <c r="M54" t="s">
        <v>14</v>
      </c>
      <c r="N54" t="str">
        <f>Sheet1!S54</f>
        <v>OUT_FLIP_P1_2_CELL_ID</v>
      </c>
      <c r="O54" t="str">
        <f>Sheet1!U54</f>
        <v>OUT FLIP #1_2의 CELL ID</v>
      </c>
    </row>
    <row r="55" spans="1:15" x14ac:dyDescent="0.45">
      <c r="A55">
        <f>Sheet1!A55</f>
        <v>10053</v>
      </c>
      <c r="B55" t="str">
        <f>Sheet1!C55</f>
        <v>OUT_FLIP_P1_2_STEP_ID</v>
      </c>
      <c r="C55">
        <f>Sheet1!E55</f>
        <v>21</v>
      </c>
      <c r="D55" t="s">
        <v>14</v>
      </c>
      <c r="E55" t="str">
        <f>Sheet1!Y55</f>
        <v>OUT FLIP</v>
      </c>
      <c r="F55" t="str">
        <f>Sheet1!G55</f>
        <v xml:space="preserve"> </v>
      </c>
      <c r="G55">
        <f>Sheet1!I55</f>
        <v>0</v>
      </c>
      <c r="H55">
        <f>Sheet1!K55</f>
        <v>2</v>
      </c>
      <c r="I55" t="str">
        <f>Sheet1!M55</f>
        <v>N/A</v>
      </c>
      <c r="J55" t="str">
        <f>Sheet1!O55</f>
        <v>N/A</v>
      </c>
      <c r="K55" t="str">
        <f>Sheet1!Q55</f>
        <v>N/A</v>
      </c>
      <c r="L55" t="str">
        <f>Sheet1!W55</f>
        <v>INTEGER</v>
      </c>
      <c r="M55" t="s">
        <v>14</v>
      </c>
      <c r="N55" t="str">
        <f>Sheet1!S55</f>
        <v>OUT_FLIP_P1_2_STEP_ID</v>
      </c>
      <c r="O55" t="str">
        <f>Sheet1!U55</f>
        <v>OUT FLIP #1_2의 STEP ID</v>
      </c>
    </row>
    <row r="56" spans="1:15" x14ac:dyDescent="0.45">
      <c r="A56">
        <f>Sheet1!A56</f>
        <v>10054</v>
      </c>
      <c r="B56" t="str">
        <f>Sheet1!C56</f>
        <v>OUT_FLIP_P1_2_VACUUM_PRESSURE</v>
      </c>
      <c r="C56">
        <f>Sheet1!E56</f>
        <v>29</v>
      </c>
      <c r="D56" t="s">
        <v>14</v>
      </c>
      <c r="E56" t="str">
        <f>Sheet1!Y56</f>
        <v>OUT FLIP</v>
      </c>
      <c r="F56" t="str">
        <f>Sheet1!G56</f>
        <v>kPa</v>
      </c>
      <c r="G56">
        <f>Sheet1!I56</f>
        <v>-70</v>
      </c>
      <c r="H56">
        <f>Sheet1!K56</f>
        <v>0</v>
      </c>
      <c r="I56">
        <f>Sheet1!M56</f>
        <v>-60</v>
      </c>
      <c r="J56">
        <f>Sheet1!O56</f>
        <v>-50</v>
      </c>
      <c r="K56">
        <f>Sheet1!Q56</f>
        <v>-40</v>
      </c>
      <c r="L56" t="str">
        <f>Sheet1!W56</f>
        <v>FLOAT</v>
      </c>
      <c r="M56" t="s">
        <v>14</v>
      </c>
      <c r="N56" t="str">
        <f>Sheet1!S56</f>
        <v>OUT_FLIP_P1_2_VACUUM_PRESSURE</v>
      </c>
      <c r="O56" t="str">
        <f>Sheet1!U56</f>
        <v>OUT FLIP #1_2의 모듈 흡착용 Vacuum 압력값</v>
      </c>
    </row>
    <row r="57" spans="1:15" x14ac:dyDescent="0.45">
      <c r="A57">
        <f>Sheet1!A57</f>
        <v>10055</v>
      </c>
      <c r="B57" t="str">
        <f>Sheet1!C57</f>
        <v>OUT_FLIP_P2_1_CELL_ID</v>
      </c>
      <c r="C57">
        <f>Sheet1!E57</f>
        <v>21</v>
      </c>
      <c r="D57" t="s">
        <v>14</v>
      </c>
      <c r="E57" t="str">
        <f>Sheet1!Y57</f>
        <v>OUT FLIP</v>
      </c>
      <c r="F57" t="str">
        <f>Sheet1!G57</f>
        <v xml:space="preserve"> </v>
      </c>
      <c r="G57" t="str">
        <f>Sheet1!I57</f>
        <v>N/A</v>
      </c>
      <c r="H57" t="str">
        <f>Sheet1!K57</f>
        <v>N/A</v>
      </c>
      <c r="I57" t="str">
        <f>Sheet1!M57</f>
        <v>N/A</v>
      </c>
      <c r="J57" t="str">
        <f>Sheet1!O57</f>
        <v>N/A</v>
      </c>
      <c r="K57" t="str">
        <f>Sheet1!Q57</f>
        <v>N/A</v>
      </c>
      <c r="L57" t="str">
        <f>Sheet1!W57</f>
        <v>STRING</v>
      </c>
      <c r="M57" t="s">
        <v>14</v>
      </c>
      <c r="N57" t="str">
        <f>Sheet1!S57</f>
        <v>OUT_FLIP_P2_1_CELL_ID</v>
      </c>
      <c r="O57" t="str">
        <f>Sheet1!U57</f>
        <v>OUT FLIP #2_1의 CELL ID</v>
      </c>
    </row>
    <row r="58" spans="1:15" x14ac:dyDescent="0.45">
      <c r="A58">
        <f>Sheet1!A58</f>
        <v>10056</v>
      </c>
      <c r="B58" t="str">
        <f>Sheet1!C58</f>
        <v>OUT_FLIP_P2_1_STEP_ID</v>
      </c>
      <c r="C58">
        <f>Sheet1!E58</f>
        <v>21</v>
      </c>
      <c r="D58" t="s">
        <v>14</v>
      </c>
      <c r="E58" t="str">
        <f>Sheet1!Y58</f>
        <v>OUT FLIP</v>
      </c>
      <c r="F58" t="str">
        <f>Sheet1!G58</f>
        <v xml:space="preserve"> </v>
      </c>
      <c r="G58">
        <f>Sheet1!I58</f>
        <v>0</v>
      </c>
      <c r="H58">
        <f>Sheet1!K58</f>
        <v>2</v>
      </c>
      <c r="I58" t="str">
        <f>Sheet1!M58</f>
        <v>N/A</v>
      </c>
      <c r="J58" t="str">
        <f>Sheet1!O58</f>
        <v>N/A</v>
      </c>
      <c r="K58" t="str">
        <f>Sheet1!Q58</f>
        <v>N/A</v>
      </c>
      <c r="L58" t="str">
        <f>Sheet1!W58</f>
        <v>INTEGER</v>
      </c>
      <c r="M58" t="s">
        <v>14</v>
      </c>
      <c r="N58" t="str">
        <f>Sheet1!S58</f>
        <v>OUT_FLIP_P2_1_STEP_ID</v>
      </c>
      <c r="O58" t="str">
        <f>Sheet1!U58</f>
        <v>OUT FLIP #2_1의 STEP ID</v>
      </c>
    </row>
    <row r="59" spans="1:15" x14ac:dyDescent="0.45">
      <c r="A59">
        <f>Sheet1!A59</f>
        <v>10057</v>
      </c>
      <c r="B59" t="str">
        <f>Sheet1!C59</f>
        <v>OUT_FLIP_P2_1_VACUUM_PRESSURE</v>
      </c>
      <c r="C59">
        <f>Sheet1!E59</f>
        <v>29</v>
      </c>
      <c r="D59" t="s">
        <v>14</v>
      </c>
      <c r="E59" t="str">
        <f>Sheet1!Y59</f>
        <v>OUT FLIP</v>
      </c>
      <c r="F59" t="str">
        <f>Sheet1!G59</f>
        <v>kPa</v>
      </c>
      <c r="G59">
        <f>Sheet1!I59</f>
        <v>-70</v>
      </c>
      <c r="H59">
        <f>Sheet1!K59</f>
        <v>0</v>
      </c>
      <c r="I59">
        <f>Sheet1!M59</f>
        <v>-60</v>
      </c>
      <c r="J59">
        <f>Sheet1!O59</f>
        <v>-50</v>
      </c>
      <c r="K59">
        <f>Sheet1!Q59</f>
        <v>-40</v>
      </c>
      <c r="L59" t="str">
        <f>Sheet1!W59</f>
        <v>FLOAT</v>
      </c>
      <c r="M59" t="s">
        <v>14</v>
      </c>
      <c r="N59" t="str">
        <f>Sheet1!S59</f>
        <v>OUT_FLIP_P2_1_VACUUM_PRESSURE</v>
      </c>
      <c r="O59" t="str">
        <f>Sheet1!U59</f>
        <v>OUT FLIP #2_1의 모듈 흡착용 Vacuum 압력값</v>
      </c>
    </row>
    <row r="60" spans="1:15" x14ac:dyDescent="0.45">
      <c r="A60">
        <f>Sheet1!A60</f>
        <v>10058</v>
      </c>
      <c r="B60" t="str">
        <f>Sheet1!C60</f>
        <v>OUT_FLIP_P2_2_CELL_ID</v>
      </c>
      <c r="C60">
        <f>Sheet1!E60</f>
        <v>21</v>
      </c>
      <c r="D60" t="s">
        <v>14</v>
      </c>
      <c r="E60" t="str">
        <f>Sheet1!Y60</f>
        <v>OUT FLIP</v>
      </c>
      <c r="F60" t="str">
        <f>Sheet1!G60</f>
        <v xml:space="preserve"> </v>
      </c>
      <c r="G60" t="str">
        <f>Sheet1!I60</f>
        <v>N/A</v>
      </c>
      <c r="H60" t="str">
        <f>Sheet1!K60</f>
        <v>N/A</v>
      </c>
      <c r="I60" t="str">
        <f>Sheet1!M60</f>
        <v>N/A</v>
      </c>
      <c r="J60" t="str">
        <f>Sheet1!O60</f>
        <v>N/A</v>
      </c>
      <c r="K60" t="str">
        <f>Sheet1!Q60</f>
        <v>N/A</v>
      </c>
      <c r="L60" t="str">
        <f>Sheet1!W60</f>
        <v>STRING</v>
      </c>
      <c r="M60" t="s">
        <v>14</v>
      </c>
      <c r="N60" t="str">
        <f>Sheet1!S60</f>
        <v>OUT_FLIP_P2_2_CELL_ID</v>
      </c>
      <c r="O60" t="str">
        <f>Sheet1!U60</f>
        <v>OUT FLIP #2_2의 CELL ID</v>
      </c>
    </row>
    <row r="61" spans="1:15" x14ac:dyDescent="0.45">
      <c r="A61">
        <f>Sheet1!A61</f>
        <v>10059</v>
      </c>
      <c r="B61" t="str">
        <f>Sheet1!C61</f>
        <v>OUT_FLIP_P2_2_STEP_ID</v>
      </c>
      <c r="C61">
        <f>Sheet1!E61</f>
        <v>21</v>
      </c>
      <c r="D61" t="s">
        <v>14</v>
      </c>
      <c r="E61" t="str">
        <f>Sheet1!Y61</f>
        <v>OUT FLIP</v>
      </c>
      <c r="F61" t="str">
        <f>Sheet1!G61</f>
        <v xml:space="preserve"> </v>
      </c>
      <c r="G61">
        <f>Sheet1!I61</f>
        <v>0</v>
      </c>
      <c r="H61">
        <f>Sheet1!K61</f>
        <v>2</v>
      </c>
      <c r="I61" t="str">
        <f>Sheet1!M61</f>
        <v>N/A</v>
      </c>
      <c r="J61" t="str">
        <f>Sheet1!O61</f>
        <v>N/A</v>
      </c>
      <c r="K61" t="str">
        <f>Sheet1!Q61</f>
        <v>N/A</v>
      </c>
      <c r="L61" t="str">
        <f>Sheet1!W61</f>
        <v>INTEGER</v>
      </c>
      <c r="M61" t="s">
        <v>14</v>
      </c>
      <c r="N61" t="str">
        <f>Sheet1!S61</f>
        <v>OUT_FLIP_P2_2_STEP_ID</v>
      </c>
      <c r="O61" t="str">
        <f>Sheet1!U61</f>
        <v>OUT FLIP #2_2의 STEP ID</v>
      </c>
    </row>
    <row r="62" spans="1:15" x14ac:dyDescent="0.45">
      <c r="A62">
        <f>Sheet1!A62</f>
        <v>10060</v>
      </c>
      <c r="B62" t="str">
        <f>Sheet1!C62</f>
        <v>OUT_FLIP_P2_2_VACUUM_PRESSURE</v>
      </c>
      <c r="C62">
        <f>Sheet1!E62</f>
        <v>29</v>
      </c>
      <c r="D62" t="s">
        <v>14</v>
      </c>
      <c r="E62" t="str">
        <f>Sheet1!Y62</f>
        <v>OUT FLIP</v>
      </c>
      <c r="F62" t="str">
        <f>Sheet1!G62</f>
        <v>kPa</v>
      </c>
      <c r="G62">
        <f>Sheet1!I62</f>
        <v>-70</v>
      </c>
      <c r="H62">
        <f>Sheet1!K62</f>
        <v>0</v>
      </c>
      <c r="I62">
        <f>Sheet1!M62</f>
        <v>-60</v>
      </c>
      <c r="J62">
        <f>Sheet1!O62</f>
        <v>-50</v>
      </c>
      <c r="K62">
        <f>Sheet1!Q62</f>
        <v>-40</v>
      </c>
      <c r="L62" t="str">
        <f>Sheet1!W62</f>
        <v>FLOAT</v>
      </c>
      <c r="M62" t="s">
        <v>14</v>
      </c>
      <c r="N62" t="str">
        <f>Sheet1!S62</f>
        <v>OUT_FLIP_P2_2_VACUUM_PRESSURE</v>
      </c>
      <c r="O62" t="str">
        <f>Sheet1!U62</f>
        <v>OUT FLIP #2_2의 모듈 흡착용 Vacuum 압력값</v>
      </c>
    </row>
    <row r="63" spans="1:15" x14ac:dyDescent="0.45">
      <c r="A63">
        <f>Sheet1!A63</f>
        <v>10061</v>
      </c>
      <c r="B63" t="str">
        <f>Sheet1!C63</f>
        <v>OUT_FLIP_CELL_OUT_DELAY_TIME</v>
      </c>
      <c r="C63">
        <f>Sheet1!E63</f>
        <v>28</v>
      </c>
      <c r="D63" t="s">
        <v>14</v>
      </c>
      <c r="E63" t="str">
        <f>Sheet1!Y63</f>
        <v>OUT FLIP</v>
      </c>
      <c r="F63" t="str">
        <f>Sheet1!G63</f>
        <v>sec</v>
      </c>
      <c r="G63" t="str">
        <f>Sheet1!I63</f>
        <v>N/A</v>
      </c>
      <c r="H63" t="str">
        <f>Sheet1!K63</f>
        <v>N/A</v>
      </c>
      <c r="I63" t="str">
        <f>Sheet1!M63</f>
        <v>N/A</v>
      </c>
      <c r="J63" t="str">
        <f>Sheet1!O63</f>
        <v>N/A</v>
      </c>
      <c r="K63" t="str">
        <f>Sheet1!Q63</f>
        <v>N/A</v>
      </c>
      <c r="L63" t="str">
        <f>Sheet1!W63</f>
        <v>FLOAT</v>
      </c>
      <c r="M63" t="s">
        <v>14</v>
      </c>
      <c r="N63" t="str">
        <f>Sheet1!S63</f>
        <v>OUT_FLIP_CELL_OUT_DELAY_TIME</v>
      </c>
      <c r="O63" t="str">
        <f>Sheet1!U63</f>
        <v>OUT FLIP 자재 배출 지연시간</v>
      </c>
    </row>
    <row r="64" spans="1:15" x14ac:dyDescent="0.45">
      <c r="A64">
        <f>Sheet1!A64</f>
        <v>60000</v>
      </c>
      <c r="B64" t="str">
        <f>Sheet1!C64</f>
        <v>SINGLE_PHASE_POWER_1</v>
      </c>
      <c r="C64">
        <f>Sheet1!E64</f>
        <v>20</v>
      </c>
      <c r="D64" t="s">
        <v>14</v>
      </c>
      <c r="E64" t="str">
        <f>Sheet1!Y64</f>
        <v>UTIL</v>
      </c>
      <c r="F64" t="str">
        <f>Sheet1!G64</f>
        <v>KWh</v>
      </c>
      <c r="G64">
        <f>Sheet1!I64</f>
        <v>0</v>
      </c>
      <c r="H64" t="str">
        <f>Sheet1!K64</f>
        <v>N/A</v>
      </c>
      <c r="I64" t="str">
        <f>Sheet1!M64</f>
        <v>N/A</v>
      </c>
      <c r="J64" t="str">
        <f>Sheet1!O64</f>
        <v>N/A</v>
      </c>
      <c r="K64" t="str">
        <f>Sheet1!Q64</f>
        <v>N/A</v>
      </c>
      <c r="L64" t="str">
        <f>Sheet1!W64</f>
        <v>FLOAT</v>
      </c>
      <c r="M64" t="s">
        <v>14</v>
      </c>
      <c r="N64" t="str">
        <f>Sheet1!S64</f>
        <v>SINGLE_PHASE_POWER_1</v>
      </c>
      <c r="O64" t="str">
        <f>Sheet1!U64</f>
        <v>GPS 전원 전력량</v>
      </c>
    </row>
    <row r="65" spans="1:15" x14ac:dyDescent="0.45">
      <c r="A65">
        <f>Sheet1!A65</f>
        <v>60001</v>
      </c>
      <c r="B65" t="str">
        <f>Sheet1!C65</f>
        <v>INSTANTANEOUS_POWER_1</v>
      </c>
      <c r="C65">
        <f>Sheet1!E65</f>
        <v>21</v>
      </c>
      <c r="D65" t="s">
        <v>14</v>
      </c>
      <c r="E65" t="str">
        <f>Sheet1!Y65</f>
        <v>UTIL</v>
      </c>
      <c r="F65" t="str">
        <f>Sheet1!G65</f>
        <v>KW</v>
      </c>
      <c r="G65">
        <f>Sheet1!I65</f>
        <v>0</v>
      </c>
      <c r="H65">
        <f>Sheet1!K65</f>
        <v>10</v>
      </c>
      <c r="I65">
        <f>Sheet1!M65</f>
        <v>7.0000000000000007E-2</v>
      </c>
      <c r="J65">
        <f>Sheet1!O65</f>
        <v>0.7</v>
      </c>
      <c r="K65">
        <f>Sheet1!Q65</f>
        <v>4</v>
      </c>
      <c r="L65" t="str">
        <f>Sheet1!W65</f>
        <v>FLOAT</v>
      </c>
      <c r="M65" t="s">
        <v>14</v>
      </c>
      <c r="N65" t="str">
        <f>Sheet1!S65</f>
        <v>INSTANTANEOUS_POWER_1</v>
      </c>
      <c r="O65" t="str">
        <f>Sheet1!U65</f>
        <v>GPS 전원 현재 소모전력</v>
      </c>
    </row>
    <row r="66" spans="1:15" x14ac:dyDescent="0.45">
      <c r="A66">
        <f>Sheet1!A66</f>
        <v>60002</v>
      </c>
      <c r="B66" t="str">
        <f>Sheet1!C66</f>
        <v>R_PHASE_VOLTAGE_1</v>
      </c>
      <c r="C66">
        <f>Sheet1!E66</f>
        <v>17</v>
      </c>
      <c r="D66" t="s">
        <v>14</v>
      </c>
      <c r="E66" t="str">
        <f>Sheet1!Y66</f>
        <v>UTIL</v>
      </c>
      <c r="F66" t="str">
        <f>Sheet1!G66</f>
        <v>V</v>
      </c>
      <c r="G66">
        <f>Sheet1!I66</f>
        <v>180</v>
      </c>
      <c r="H66">
        <f>Sheet1!K66</f>
        <v>240</v>
      </c>
      <c r="I66">
        <f>Sheet1!M66</f>
        <v>190</v>
      </c>
      <c r="J66">
        <f>Sheet1!O66</f>
        <v>220</v>
      </c>
      <c r="K66">
        <f>Sheet1!Q66</f>
        <v>235</v>
      </c>
      <c r="L66" t="str">
        <f>Sheet1!W66</f>
        <v>FLOAT</v>
      </c>
      <c r="M66" t="s">
        <v>14</v>
      </c>
      <c r="N66" t="str">
        <f>Sheet1!S66</f>
        <v>R_PHASE_VOLTAGE_1</v>
      </c>
      <c r="O66" t="str">
        <f>Sheet1!U66</f>
        <v>GPS 전원 R상 전압값</v>
      </c>
    </row>
    <row r="67" spans="1:15" x14ac:dyDescent="0.45">
      <c r="A67">
        <f>Sheet1!A67</f>
        <v>60003</v>
      </c>
      <c r="B67" t="str">
        <f>Sheet1!C67</f>
        <v>R_PHASE_CURRENT_1</v>
      </c>
      <c r="C67">
        <f>Sheet1!E67</f>
        <v>17</v>
      </c>
      <c r="D67" t="s">
        <v>14</v>
      </c>
      <c r="E67" t="str">
        <f>Sheet1!Y67</f>
        <v>UTIL</v>
      </c>
      <c r="F67" t="str">
        <f>Sheet1!G67</f>
        <v>A</v>
      </c>
      <c r="G67">
        <f>Sheet1!I67</f>
        <v>0</v>
      </c>
      <c r="H67">
        <f>Sheet1!K67</f>
        <v>10</v>
      </c>
      <c r="I67">
        <f>Sheet1!M67</f>
        <v>0.2</v>
      </c>
      <c r="J67">
        <f>Sheet1!O67</f>
        <v>3</v>
      </c>
      <c r="K67">
        <f>Sheet1!Q67</f>
        <v>8</v>
      </c>
      <c r="L67" t="str">
        <f>Sheet1!W67</f>
        <v>FLOAT</v>
      </c>
      <c r="M67" t="s">
        <v>14</v>
      </c>
      <c r="N67" t="str">
        <f>Sheet1!S67</f>
        <v>R_PHASE_CURRENT_1</v>
      </c>
      <c r="O67" t="str">
        <f>Sheet1!U67</f>
        <v>GPS 전원 R상 전류값</v>
      </c>
    </row>
    <row r="68" spans="1:15" x14ac:dyDescent="0.45">
      <c r="A68">
        <f>Sheet1!A68</f>
        <v>60004</v>
      </c>
      <c r="B68" t="str">
        <f>Sheet1!C68</f>
        <v>R_PHASE_VOLTAGE_VTHD_1</v>
      </c>
      <c r="C68">
        <f>Sheet1!E68</f>
        <v>22</v>
      </c>
      <c r="D68" t="s">
        <v>14</v>
      </c>
      <c r="E68" t="str">
        <f>Sheet1!Y68</f>
        <v>UTIL</v>
      </c>
      <c r="F68" t="str">
        <f>Sheet1!G68</f>
        <v>%</v>
      </c>
      <c r="G68" t="str">
        <f>Sheet1!I68</f>
        <v>N/A</v>
      </c>
      <c r="H68" t="str">
        <f>Sheet1!K68</f>
        <v>N/A</v>
      </c>
      <c r="I68" t="str">
        <f>Sheet1!M68</f>
        <v>N/A</v>
      </c>
      <c r="J68" t="str">
        <f>Sheet1!O68</f>
        <v>N/A</v>
      </c>
      <c r="K68" t="str">
        <f>Sheet1!Q68</f>
        <v>N/A</v>
      </c>
      <c r="L68" t="str">
        <f>Sheet1!W68</f>
        <v>FLOAT</v>
      </c>
      <c r="M68" t="s">
        <v>14</v>
      </c>
      <c r="N68" t="str">
        <f>Sheet1!S68</f>
        <v>R_PHASE_VOLTAGE_VTHD_1</v>
      </c>
      <c r="O68" t="str">
        <f>Sheet1!U68</f>
        <v>GPS 전원 R상 전압 고조파 함유량</v>
      </c>
    </row>
    <row r="69" spans="1:15" x14ac:dyDescent="0.45">
      <c r="A69">
        <f>Sheet1!A69</f>
        <v>60005</v>
      </c>
      <c r="B69" t="str">
        <f>Sheet1!C69</f>
        <v>R_PHASE_CURRENT_ITDD_1</v>
      </c>
      <c r="C69">
        <f>Sheet1!E69</f>
        <v>22</v>
      </c>
      <c r="D69" t="s">
        <v>14</v>
      </c>
      <c r="E69" t="str">
        <f>Sheet1!Y69</f>
        <v>UTIL</v>
      </c>
      <c r="F69" t="str">
        <f>Sheet1!G69</f>
        <v>%</v>
      </c>
      <c r="G69" t="str">
        <f>Sheet1!I69</f>
        <v>N/A</v>
      </c>
      <c r="H69" t="str">
        <f>Sheet1!K69</f>
        <v>N/A</v>
      </c>
      <c r="I69" t="str">
        <f>Sheet1!M69</f>
        <v>N/A</v>
      </c>
      <c r="J69" t="str">
        <f>Sheet1!O69</f>
        <v>N/A</v>
      </c>
      <c r="K69" t="str">
        <f>Sheet1!Q69</f>
        <v>N/A</v>
      </c>
      <c r="L69" t="str">
        <f>Sheet1!W69</f>
        <v>FLOAT</v>
      </c>
      <c r="M69" t="s">
        <v>14</v>
      </c>
      <c r="N69" t="str">
        <f>Sheet1!S69</f>
        <v>R_PHASE_CURRENT_ITDD_1</v>
      </c>
      <c r="O69" t="str">
        <f>Sheet1!U69</f>
        <v>GPS 전원 R상 전류 고조파 함유량</v>
      </c>
    </row>
    <row r="70" spans="1:15" x14ac:dyDescent="0.45">
      <c r="A70">
        <f>Sheet1!A70</f>
        <v>60006</v>
      </c>
      <c r="B70" t="str">
        <f>Sheet1!C70</f>
        <v>SINGLE_PHASE_POWER_2</v>
      </c>
      <c r="C70">
        <f>Sheet1!E70</f>
        <v>20</v>
      </c>
      <c r="D70" t="s">
        <v>14</v>
      </c>
      <c r="E70" t="str">
        <f>Sheet1!Y70</f>
        <v>UTIL</v>
      </c>
      <c r="F70" t="str">
        <f>Sheet1!G70</f>
        <v>KWh</v>
      </c>
      <c r="G70">
        <f>Sheet1!I70</f>
        <v>0</v>
      </c>
      <c r="H70" t="str">
        <f>Sheet1!K70</f>
        <v>N/A</v>
      </c>
      <c r="I70" t="str">
        <f>Sheet1!M70</f>
        <v>N/A</v>
      </c>
      <c r="J70" t="str">
        <f>Sheet1!O70</f>
        <v>N/A</v>
      </c>
      <c r="K70" t="str">
        <f>Sheet1!Q70</f>
        <v>N/A</v>
      </c>
      <c r="L70" t="str">
        <f>Sheet1!W70</f>
        <v>FLOAT</v>
      </c>
      <c r="M70" t="s">
        <v>14</v>
      </c>
      <c r="N70" t="str">
        <f>Sheet1!S70</f>
        <v>SINGLE_PHASE_POWER_2</v>
      </c>
      <c r="O70" t="str">
        <f>Sheet1!U70</f>
        <v>UPS 전원 전력량</v>
      </c>
    </row>
    <row r="71" spans="1:15" x14ac:dyDescent="0.45">
      <c r="A71">
        <f>Sheet1!A71</f>
        <v>60007</v>
      </c>
      <c r="B71" t="str">
        <f>Sheet1!C71</f>
        <v>INSTANTANEOUS_POWER_2</v>
      </c>
      <c r="C71">
        <f>Sheet1!E71</f>
        <v>21</v>
      </c>
      <c r="D71" t="s">
        <v>14</v>
      </c>
      <c r="E71" t="str">
        <f>Sheet1!Y71</f>
        <v>UTIL</v>
      </c>
      <c r="F71" t="str">
        <f>Sheet1!G71</f>
        <v>KW</v>
      </c>
      <c r="G71">
        <f>Sheet1!I71</f>
        <v>0</v>
      </c>
      <c r="H71">
        <f>Sheet1!K71</f>
        <v>10</v>
      </c>
      <c r="I71">
        <f>Sheet1!M71</f>
        <v>7.0000000000000007E-2</v>
      </c>
      <c r="J71">
        <f>Sheet1!O71</f>
        <v>0.7</v>
      </c>
      <c r="K71">
        <f>Sheet1!Q71</f>
        <v>4</v>
      </c>
      <c r="L71" t="str">
        <f>Sheet1!W71</f>
        <v>FLOAT</v>
      </c>
      <c r="M71" t="s">
        <v>14</v>
      </c>
      <c r="N71" t="str">
        <f>Sheet1!S71</f>
        <v>INSTANTANEOUS_POWER_2</v>
      </c>
      <c r="O71" t="str">
        <f>Sheet1!U71</f>
        <v>UPS 전원 현재 소모전력</v>
      </c>
    </row>
    <row r="72" spans="1:15" x14ac:dyDescent="0.45">
      <c r="A72">
        <f>Sheet1!A72</f>
        <v>60008</v>
      </c>
      <c r="B72" t="str">
        <f>Sheet1!C72</f>
        <v>R_PHASE_VOLTAGE_2</v>
      </c>
      <c r="C72">
        <f>Sheet1!E72</f>
        <v>17</v>
      </c>
      <c r="D72" t="s">
        <v>14</v>
      </c>
      <c r="E72" t="str">
        <f>Sheet1!Y72</f>
        <v>UTIL</v>
      </c>
      <c r="F72" t="str">
        <f>Sheet1!G72</f>
        <v>V</v>
      </c>
      <c r="G72">
        <f>Sheet1!I72</f>
        <v>180</v>
      </c>
      <c r="H72">
        <f>Sheet1!K72</f>
        <v>240</v>
      </c>
      <c r="I72">
        <f>Sheet1!M72</f>
        <v>190</v>
      </c>
      <c r="J72">
        <f>Sheet1!O72</f>
        <v>220</v>
      </c>
      <c r="K72">
        <f>Sheet1!Q72</f>
        <v>235</v>
      </c>
      <c r="L72" t="str">
        <f>Sheet1!W72</f>
        <v>FLOAT</v>
      </c>
      <c r="M72" t="s">
        <v>14</v>
      </c>
      <c r="N72" t="str">
        <f>Sheet1!S72</f>
        <v>R_PHASE_VOLTAGE_2</v>
      </c>
      <c r="O72" t="str">
        <f>Sheet1!U72</f>
        <v>UPS 전원 R상 전압값</v>
      </c>
    </row>
    <row r="73" spans="1:15" x14ac:dyDescent="0.45">
      <c r="A73">
        <f>Sheet1!A73</f>
        <v>60009</v>
      </c>
      <c r="B73" t="str">
        <f>Sheet1!C73</f>
        <v>R_PHASE_CURRENT_2</v>
      </c>
      <c r="C73">
        <f>Sheet1!E73</f>
        <v>17</v>
      </c>
      <c r="D73" t="s">
        <v>14</v>
      </c>
      <c r="E73" t="str">
        <f>Sheet1!Y73</f>
        <v>UTIL</v>
      </c>
      <c r="F73" t="str">
        <f>Sheet1!G73</f>
        <v>A</v>
      </c>
      <c r="G73">
        <f>Sheet1!I73</f>
        <v>0</v>
      </c>
      <c r="H73">
        <f>Sheet1!K73</f>
        <v>10</v>
      </c>
      <c r="I73">
        <f>Sheet1!M73</f>
        <v>0.2</v>
      </c>
      <c r="J73">
        <f>Sheet1!O73</f>
        <v>3</v>
      </c>
      <c r="K73">
        <f>Sheet1!Q73</f>
        <v>8</v>
      </c>
      <c r="L73" t="str">
        <f>Sheet1!W73</f>
        <v>FLOAT</v>
      </c>
      <c r="M73" t="s">
        <v>14</v>
      </c>
      <c r="N73" t="str">
        <f>Sheet1!S73</f>
        <v>R_PHASE_CURRENT_2</v>
      </c>
      <c r="O73" t="str">
        <f>Sheet1!U73</f>
        <v>UPS 전원 R상 전류값</v>
      </c>
    </row>
    <row r="74" spans="1:15" x14ac:dyDescent="0.45">
      <c r="A74">
        <f>Sheet1!A74</f>
        <v>60010</v>
      </c>
      <c r="B74" t="str">
        <f>Sheet1!C74</f>
        <v>R_PHASE_VOLTAGE_VTHD_2</v>
      </c>
      <c r="C74">
        <f>Sheet1!E74</f>
        <v>22</v>
      </c>
      <c r="D74" t="s">
        <v>14</v>
      </c>
      <c r="E74" t="str">
        <f>Sheet1!Y74</f>
        <v>UTIL</v>
      </c>
      <c r="F74" t="str">
        <f>Sheet1!G74</f>
        <v>%</v>
      </c>
      <c r="G74" t="str">
        <f>Sheet1!I74</f>
        <v>N/A</v>
      </c>
      <c r="H74" t="str">
        <f>Sheet1!K74</f>
        <v>N/A</v>
      </c>
      <c r="I74" t="str">
        <f>Sheet1!M74</f>
        <v>N/A</v>
      </c>
      <c r="J74" t="str">
        <f>Sheet1!O74</f>
        <v>N/A</v>
      </c>
      <c r="K74" t="str">
        <f>Sheet1!Q74</f>
        <v>N/A</v>
      </c>
      <c r="L74" t="str">
        <f>Sheet1!W74</f>
        <v>FLOAT</v>
      </c>
      <c r="M74" t="s">
        <v>14</v>
      </c>
      <c r="N74" t="str">
        <f>Sheet1!S74</f>
        <v>R_PHASE_VOLTAGE_VTHD_2</v>
      </c>
      <c r="O74" t="str">
        <f>Sheet1!U74</f>
        <v>UPS 전원 R상 전압 고조파 함유량</v>
      </c>
    </row>
    <row r="75" spans="1:15" x14ac:dyDescent="0.45">
      <c r="A75">
        <f>Sheet1!A75</f>
        <v>60011</v>
      </c>
      <c r="B75" t="str">
        <f>Sheet1!C75</f>
        <v>R_PHASE_CURRENT_ITDD_2</v>
      </c>
      <c r="C75">
        <f>Sheet1!E75</f>
        <v>22</v>
      </c>
      <c r="D75" t="s">
        <v>14</v>
      </c>
      <c r="E75" t="str">
        <f>Sheet1!Y75</f>
        <v>UTIL</v>
      </c>
      <c r="F75" t="str">
        <f>Sheet1!G75</f>
        <v>%</v>
      </c>
      <c r="G75" t="str">
        <f>Sheet1!I75</f>
        <v>N/A</v>
      </c>
      <c r="H75" t="str">
        <f>Sheet1!K75</f>
        <v>N/A</v>
      </c>
      <c r="I75" t="str">
        <f>Sheet1!M75</f>
        <v>N/A</v>
      </c>
      <c r="J75" t="str">
        <f>Sheet1!O75</f>
        <v>N/A</v>
      </c>
      <c r="K75" t="str">
        <f>Sheet1!Q75</f>
        <v>N/A</v>
      </c>
      <c r="L75" t="str">
        <f>Sheet1!W75</f>
        <v>FLOAT</v>
      </c>
      <c r="M75" t="s">
        <v>14</v>
      </c>
      <c r="N75" t="str">
        <f>Sheet1!S75</f>
        <v>R_PHASE_CURRENT_ITDD_2</v>
      </c>
      <c r="O75" t="str">
        <f>Sheet1!U75</f>
        <v>UPS 전원 R상 전류 고조파 함유량</v>
      </c>
    </row>
    <row r="76" spans="1:15" x14ac:dyDescent="0.45">
      <c r="A76">
        <f>Sheet1!A76</f>
        <v>0</v>
      </c>
      <c r="B76">
        <f>Sheet1!C76</f>
        <v>0</v>
      </c>
      <c r="C76">
        <f>Sheet1!E76</f>
        <v>0</v>
      </c>
      <c r="D76" t="s">
        <v>14</v>
      </c>
      <c r="E76">
        <f>Sheet1!Y76</f>
        <v>0</v>
      </c>
      <c r="F76">
        <f>Sheet1!G76</f>
        <v>0</v>
      </c>
      <c r="G76">
        <f>Sheet1!I76</f>
        <v>0</v>
      </c>
      <c r="H76">
        <f>Sheet1!K76</f>
        <v>0</v>
      </c>
      <c r="I76">
        <f>Sheet1!M76</f>
        <v>0</v>
      </c>
      <c r="J76">
        <f>Sheet1!O76</f>
        <v>0</v>
      </c>
      <c r="K76">
        <f>Sheet1!Q76</f>
        <v>0</v>
      </c>
      <c r="L76">
        <f>Sheet1!W76</f>
        <v>0</v>
      </c>
      <c r="M76" t="s">
        <v>14</v>
      </c>
      <c r="N76">
        <f>Sheet1!S76</f>
        <v>0</v>
      </c>
      <c r="O76">
        <f>Sheet1!U76</f>
        <v>0</v>
      </c>
    </row>
    <row r="77" spans="1:15" x14ac:dyDescent="0.45">
      <c r="A77">
        <f>Sheet1!A77</f>
        <v>0</v>
      </c>
      <c r="B77">
        <f>Sheet1!C77</f>
        <v>0</v>
      </c>
      <c r="C77">
        <f>Sheet1!E77</f>
        <v>0</v>
      </c>
      <c r="D77" t="s">
        <v>14</v>
      </c>
      <c r="E77">
        <f>Sheet1!Y77</f>
        <v>0</v>
      </c>
      <c r="F77">
        <f>Sheet1!G77</f>
        <v>0</v>
      </c>
      <c r="G77">
        <f>Sheet1!I77</f>
        <v>0</v>
      </c>
      <c r="H77">
        <f>Sheet1!K77</f>
        <v>0</v>
      </c>
      <c r="I77">
        <f>Sheet1!M77</f>
        <v>0</v>
      </c>
      <c r="J77">
        <f>Sheet1!O77</f>
        <v>0</v>
      </c>
      <c r="K77">
        <f>Sheet1!Q77</f>
        <v>0</v>
      </c>
      <c r="L77">
        <f>Sheet1!W77</f>
        <v>0</v>
      </c>
      <c r="M77" t="s">
        <v>14</v>
      </c>
      <c r="N77">
        <f>Sheet1!S77</f>
        <v>0</v>
      </c>
      <c r="O77">
        <f>Sheet1!U77</f>
        <v>0</v>
      </c>
    </row>
    <row r="78" spans="1:15" x14ac:dyDescent="0.45">
      <c r="A78">
        <f>Sheet1!A78</f>
        <v>0</v>
      </c>
      <c r="B78">
        <f>Sheet1!C78</f>
        <v>0</v>
      </c>
      <c r="C78">
        <f>Sheet1!E78</f>
        <v>0</v>
      </c>
      <c r="D78" t="s">
        <v>14</v>
      </c>
      <c r="E78">
        <f>Sheet1!Y78</f>
        <v>0</v>
      </c>
      <c r="F78">
        <f>Sheet1!G78</f>
        <v>0</v>
      </c>
      <c r="G78">
        <f>Sheet1!I78</f>
        <v>0</v>
      </c>
      <c r="H78">
        <f>Sheet1!K78</f>
        <v>0</v>
      </c>
      <c r="I78">
        <f>Sheet1!M78</f>
        <v>0</v>
      </c>
      <c r="J78">
        <f>Sheet1!O78</f>
        <v>0</v>
      </c>
      <c r="K78">
        <f>Sheet1!Q78</f>
        <v>0</v>
      </c>
      <c r="L78">
        <f>Sheet1!W78</f>
        <v>0</v>
      </c>
      <c r="M78" t="s">
        <v>14</v>
      </c>
      <c r="N78">
        <f>Sheet1!S78</f>
        <v>0</v>
      </c>
      <c r="O78">
        <f>Sheet1!U78</f>
        <v>0</v>
      </c>
    </row>
    <row r="79" spans="1:15" x14ac:dyDescent="0.45">
      <c r="A79">
        <f>Sheet1!A79</f>
        <v>0</v>
      </c>
      <c r="B79">
        <f>Sheet1!C79</f>
        <v>0</v>
      </c>
      <c r="C79">
        <f>Sheet1!E79</f>
        <v>0</v>
      </c>
      <c r="D79" t="s">
        <v>14</v>
      </c>
      <c r="E79">
        <f>Sheet1!Y79</f>
        <v>0</v>
      </c>
      <c r="F79">
        <f>Sheet1!G79</f>
        <v>0</v>
      </c>
      <c r="G79">
        <f>Sheet1!I79</f>
        <v>0</v>
      </c>
      <c r="H79">
        <f>Sheet1!K79</f>
        <v>0</v>
      </c>
      <c r="I79">
        <f>Sheet1!M79</f>
        <v>0</v>
      </c>
      <c r="J79">
        <f>Sheet1!O79</f>
        <v>0</v>
      </c>
      <c r="K79">
        <f>Sheet1!Q79</f>
        <v>0</v>
      </c>
      <c r="L79">
        <f>Sheet1!W79</f>
        <v>0</v>
      </c>
      <c r="M79" t="s">
        <v>14</v>
      </c>
      <c r="N79">
        <f>Sheet1!S79</f>
        <v>0</v>
      </c>
      <c r="O79">
        <f>Sheet1!U79</f>
        <v>0</v>
      </c>
    </row>
    <row r="80" spans="1:15" x14ac:dyDescent="0.45">
      <c r="A80">
        <f>Sheet1!A80</f>
        <v>0</v>
      </c>
      <c r="B80">
        <f>Sheet1!C80</f>
        <v>0</v>
      </c>
      <c r="C80">
        <f>Sheet1!E80</f>
        <v>0</v>
      </c>
      <c r="D80" t="s">
        <v>14</v>
      </c>
      <c r="E80">
        <f>Sheet1!Y80</f>
        <v>0</v>
      </c>
      <c r="F80">
        <f>Sheet1!G80</f>
        <v>0</v>
      </c>
      <c r="G80">
        <f>Sheet1!I80</f>
        <v>0</v>
      </c>
      <c r="H80">
        <f>Sheet1!K80</f>
        <v>0</v>
      </c>
      <c r="I80">
        <f>Sheet1!M80</f>
        <v>0</v>
      </c>
      <c r="J80">
        <f>Sheet1!O80</f>
        <v>0</v>
      </c>
      <c r="K80">
        <f>Sheet1!Q80</f>
        <v>0</v>
      </c>
      <c r="L80">
        <f>Sheet1!W80</f>
        <v>0</v>
      </c>
      <c r="M80" t="s">
        <v>14</v>
      </c>
      <c r="N80">
        <f>Sheet1!S80</f>
        <v>0</v>
      </c>
      <c r="O80">
        <f>Sheet1!U80</f>
        <v>0</v>
      </c>
    </row>
    <row r="144" spans="1:15" x14ac:dyDescent="0.45">
      <c r="A144" t="str">
        <f>IF(LEN(Sheet1!A365)=0, " ", Sheet1!A365)</f>
        <v xml:space="preserve"> </v>
      </c>
      <c r="B144" t="str">
        <f>IF(LEN(Sheet1!C365)=0, " ", Sheet1!C365)</f>
        <v xml:space="preserve"> </v>
      </c>
      <c r="C144" t="str">
        <f>IF(LEN(Sheet1!E365)=0, " ", Sheet1!E365)</f>
        <v xml:space="preserve"> </v>
      </c>
      <c r="D144" t="s">
        <v>14</v>
      </c>
      <c r="F144" t="str">
        <f>IF(LEN(Sheet1!G365)=0, " ", Sheet1!G365)</f>
        <v xml:space="preserve"> </v>
      </c>
      <c r="G144" t="str">
        <f>IF(LEN(Sheet1!I365)=0, " ", Sheet1!I365)</f>
        <v xml:space="preserve"> </v>
      </c>
      <c r="H144" t="str">
        <f>IF(LEN(Sheet1!K365)=0, " ", Sheet1!K365)</f>
        <v xml:space="preserve"> </v>
      </c>
      <c r="I144" t="str">
        <f>IF(LEN(Sheet1!M365)=0, " ", Sheet1!M365)</f>
        <v xml:space="preserve"> </v>
      </c>
      <c r="J144" t="str">
        <f>IF(LEN(Sheet1!O365)=0, " ", Sheet1!O365)</f>
        <v xml:space="preserve"> </v>
      </c>
      <c r="K144" t="str">
        <f>IF(LEN(Sheet1!Q365)=0, " ", Sheet1!Q365)</f>
        <v xml:space="preserve"> </v>
      </c>
      <c r="L144" t="str">
        <f>IF(LEN(Sheet1!W365)=0, " ", Sheet1!W365)</f>
        <v xml:space="preserve"> </v>
      </c>
      <c r="M144" t="s">
        <v>14</v>
      </c>
      <c r="N144" t="str">
        <f>IF(LEN(Sheet1!S365)=0, " ", Sheet1!S365)</f>
        <v xml:space="preserve"> </v>
      </c>
      <c r="O144" t="str">
        <f>IF(LEN(Sheet1!U365)=0, " ", Sheet1!U365)</f>
        <v xml:space="preserve"> </v>
      </c>
    </row>
    <row r="145" spans="1:15" x14ac:dyDescent="0.45">
      <c r="A145" t="str">
        <f>IF(LEN(Sheet1!A366)=0, " ", Sheet1!A366)</f>
        <v xml:space="preserve"> </v>
      </c>
      <c r="B145" t="str">
        <f>IF(LEN(Sheet1!C366)=0, " ", Sheet1!C366)</f>
        <v xml:space="preserve"> </v>
      </c>
      <c r="C145" t="str">
        <f>IF(LEN(Sheet1!E366)=0, " ", Sheet1!E366)</f>
        <v xml:space="preserve"> </v>
      </c>
      <c r="D145" t="s">
        <v>14</v>
      </c>
      <c r="F145" t="str">
        <f>IF(LEN(Sheet1!G366)=0, " ", Sheet1!G366)</f>
        <v xml:space="preserve"> </v>
      </c>
      <c r="G145" t="str">
        <f>IF(LEN(Sheet1!I366)=0, " ", Sheet1!I366)</f>
        <v xml:space="preserve"> </v>
      </c>
      <c r="H145" t="str">
        <f>IF(LEN(Sheet1!K366)=0, " ", Sheet1!K366)</f>
        <v xml:space="preserve"> </v>
      </c>
      <c r="I145" t="str">
        <f>IF(LEN(Sheet1!M366)=0, " ", Sheet1!M366)</f>
        <v xml:space="preserve"> </v>
      </c>
      <c r="J145" t="str">
        <f>IF(LEN(Sheet1!O366)=0, " ", Sheet1!O366)</f>
        <v xml:space="preserve"> </v>
      </c>
      <c r="K145" t="str">
        <f>IF(LEN(Sheet1!Q366)=0, " ", Sheet1!Q366)</f>
        <v xml:space="preserve"> </v>
      </c>
      <c r="L145" t="str">
        <f>IF(LEN(Sheet1!W366)=0, " ", Sheet1!W366)</f>
        <v xml:space="preserve"> </v>
      </c>
      <c r="M145" t="s">
        <v>14</v>
      </c>
      <c r="N145" t="str">
        <f>IF(LEN(Sheet1!S366)=0, " ", Sheet1!S366)</f>
        <v xml:space="preserve"> </v>
      </c>
      <c r="O145" t="str">
        <f>IF(LEN(Sheet1!U366)=0, " ", Sheet1!U366)</f>
        <v xml:space="preserve"> </v>
      </c>
    </row>
    <row r="146" spans="1:15" x14ac:dyDescent="0.45">
      <c r="A146" t="str">
        <f>IF(LEN(Sheet1!A367)=0, " ", Sheet1!A367)</f>
        <v xml:space="preserve"> </v>
      </c>
      <c r="B146" t="str">
        <f>IF(LEN(Sheet1!C367)=0, " ", Sheet1!C367)</f>
        <v xml:space="preserve"> </v>
      </c>
      <c r="C146" t="str">
        <f>IF(LEN(Sheet1!E367)=0, " ", Sheet1!E367)</f>
        <v xml:space="preserve"> </v>
      </c>
      <c r="D146" t="s">
        <v>14</v>
      </c>
      <c r="F146" t="str">
        <f>IF(LEN(Sheet1!G367)=0, " ", Sheet1!G367)</f>
        <v xml:space="preserve"> </v>
      </c>
      <c r="G146" t="str">
        <f>IF(LEN(Sheet1!I367)=0, " ", Sheet1!I367)</f>
        <v xml:space="preserve"> </v>
      </c>
      <c r="H146" t="str">
        <f>IF(LEN(Sheet1!K367)=0, " ", Sheet1!K367)</f>
        <v xml:space="preserve"> </v>
      </c>
      <c r="I146" t="str">
        <f>IF(LEN(Sheet1!M367)=0, " ", Sheet1!M367)</f>
        <v xml:space="preserve"> </v>
      </c>
      <c r="J146" t="str">
        <f>IF(LEN(Sheet1!O367)=0, " ", Sheet1!O367)</f>
        <v xml:space="preserve"> </v>
      </c>
      <c r="K146" t="str">
        <f>IF(LEN(Sheet1!Q367)=0, " ", Sheet1!Q367)</f>
        <v xml:space="preserve"> </v>
      </c>
      <c r="L146" t="str">
        <f>IF(LEN(Sheet1!W367)=0, " ", Sheet1!W367)</f>
        <v xml:space="preserve"> </v>
      </c>
      <c r="M146" t="s">
        <v>14</v>
      </c>
      <c r="N146" t="str">
        <f>IF(LEN(Sheet1!S367)=0, " ", Sheet1!S367)</f>
        <v xml:space="preserve"> </v>
      </c>
      <c r="O146" t="str">
        <f>IF(LEN(Sheet1!U367)=0, " ", Sheet1!U367)</f>
        <v xml:space="preserve"> </v>
      </c>
    </row>
    <row r="147" spans="1:15" x14ac:dyDescent="0.45">
      <c r="A147" t="str">
        <f>IF(LEN(Sheet1!A368)=0, " ", Sheet1!A368)</f>
        <v xml:space="preserve"> </v>
      </c>
      <c r="B147" t="str">
        <f>IF(LEN(Sheet1!C368)=0, " ", Sheet1!C368)</f>
        <v xml:space="preserve"> </v>
      </c>
      <c r="C147" t="str">
        <f>IF(LEN(Sheet1!E368)=0, " ", Sheet1!E368)</f>
        <v xml:space="preserve"> </v>
      </c>
      <c r="D147" t="s">
        <v>14</v>
      </c>
      <c r="F147" t="str">
        <f>IF(LEN(Sheet1!G368)=0, " ", Sheet1!G368)</f>
        <v xml:space="preserve"> </v>
      </c>
      <c r="G147" t="str">
        <f>IF(LEN(Sheet1!I368)=0, " ", Sheet1!I368)</f>
        <v xml:space="preserve"> </v>
      </c>
      <c r="H147" t="str">
        <f>IF(LEN(Sheet1!K368)=0, " ", Sheet1!K368)</f>
        <v xml:space="preserve"> </v>
      </c>
      <c r="I147" t="str">
        <f>IF(LEN(Sheet1!M368)=0, " ", Sheet1!M368)</f>
        <v xml:space="preserve"> </v>
      </c>
      <c r="J147" t="str">
        <f>IF(LEN(Sheet1!O368)=0, " ", Sheet1!O368)</f>
        <v xml:space="preserve"> </v>
      </c>
      <c r="K147" t="str">
        <f>IF(LEN(Sheet1!Q368)=0, " ", Sheet1!Q368)</f>
        <v xml:space="preserve"> </v>
      </c>
      <c r="L147" t="str">
        <f>IF(LEN(Sheet1!W368)=0, " ", Sheet1!W368)</f>
        <v xml:space="preserve"> </v>
      </c>
      <c r="M147" t="s">
        <v>14</v>
      </c>
      <c r="N147" t="str">
        <f>IF(LEN(Sheet1!S368)=0, " ", Sheet1!S368)</f>
        <v xml:space="preserve"> </v>
      </c>
      <c r="O147" t="str">
        <f>IF(LEN(Sheet1!U368)=0, " ", Sheet1!U368)</f>
        <v xml:space="preserve"> </v>
      </c>
    </row>
    <row r="148" spans="1:15" x14ac:dyDescent="0.45">
      <c r="A148" t="str">
        <f>IF(LEN(Sheet1!A369)=0, " ", Sheet1!A369)</f>
        <v xml:space="preserve"> </v>
      </c>
      <c r="B148" t="str">
        <f>IF(LEN(Sheet1!C369)=0, " ", Sheet1!C369)</f>
        <v xml:space="preserve"> </v>
      </c>
      <c r="C148" t="str">
        <f>IF(LEN(Sheet1!E369)=0, " ", Sheet1!E369)</f>
        <v xml:space="preserve"> </v>
      </c>
      <c r="D148" t="s">
        <v>14</v>
      </c>
      <c r="F148" t="str">
        <f>IF(LEN(Sheet1!G369)=0, " ", Sheet1!G369)</f>
        <v xml:space="preserve"> </v>
      </c>
      <c r="G148" t="str">
        <f>IF(LEN(Sheet1!I369)=0, " ", Sheet1!I369)</f>
        <v xml:space="preserve"> </v>
      </c>
      <c r="H148" t="str">
        <f>IF(LEN(Sheet1!K369)=0, " ", Sheet1!K369)</f>
        <v xml:space="preserve"> </v>
      </c>
      <c r="I148" t="str">
        <f>IF(LEN(Sheet1!M369)=0, " ", Sheet1!M369)</f>
        <v xml:space="preserve"> </v>
      </c>
      <c r="J148" t="str">
        <f>IF(LEN(Sheet1!O369)=0, " ", Sheet1!O369)</f>
        <v xml:space="preserve"> </v>
      </c>
      <c r="K148" t="str">
        <f>IF(LEN(Sheet1!Q369)=0, " ", Sheet1!Q369)</f>
        <v xml:space="preserve"> </v>
      </c>
      <c r="L148" t="str">
        <f>IF(LEN(Sheet1!W369)=0, " ", Sheet1!W369)</f>
        <v xml:space="preserve"> </v>
      </c>
      <c r="M148" t="s">
        <v>14</v>
      </c>
      <c r="N148" t="str">
        <f>IF(LEN(Sheet1!S369)=0, " ", Sheet1!S369)</f>
        <v xml:space="preserve"> </v>
      </c>
      <c r="O148" t="str">
        <f>IF(LEN(Sheet1!U369)=0, " ", Sheet1!U369)</f>
        <v xml:space="preserve"> </v>
      </c>
    </row>
    <row r="149" spans="1:15" x14ac:dyDescent="0.45">
      <c r="A149" t="str">
        <f>IF(LEN(Sheet1!A370)=0, " ", Sheet1!A370)</f>
        <v xml:space="preserve"> </v>
      </c>
      <c r="B149" t="str">
        <f>IF(LEN(Sheet1!C370)=0, " ", Sheet1!C370)</f>
        <v xml:space="preserve"> </v>
      </c>
      <c r="C149" t="str">
        <f>IF(LEN(Sheet1!E370)=0, " ", Sheet1!E370)</f>
        <v xml:space="preserve"> </v>
      </c>
      <c r="D149" t="s">
        <v>14</v>
      </c>
      <c r="F149" t="str">
        <f>IF(LEN(Sheet1!G370)=0, " ", Sheet1!G370)</f>
        <v xml:space="preserve"> </v>
      </c>
      <c r="G149" t="str">
        <f>IF(LEN(Sheet1!I370)=0, " ", Sheet1!I370)</f>
        <v xml:space="preserve"> </v>
      </c>
      <c r="H149" t="str">
        <f>IF(LEN(Sheet1!K370)=0, " ", Sheet1!K370)</f>
        <v xml:space="preserve"> </v>
      </c>
      <c r="I149" t="str">
        <f>IF(LEN(Sheet1!M370)=0, " ", Sheet1!M370)</f>
        <v xml:space="preserve"> </v>
      </c>
      <c r="J149" t="str">
        <f>IF(LEN(Sheet1!O370)=0, " ", Sheet1!O370)</f>
        <v xml:space="preserve"> </v>
      </c>
      <c r="K149" t="str">
        <f>IF(LEN(Sheet1!Q370)=0, " ", Sheet1!Q370)</f>
        <v xml:space="preserve"> </v>
      </c>
      <c r="L149" t="str">
        <f>IF(LEN(Sheet1!W370)=0, " ", Sheet1!W370)</f>
        <v xml:space="preserve"> </v>
      </c>
      <c r="M149" t="s">
        <v>14</v>
      </c>
      <c r="N149" t="str">
        <f>IF(LEN(Sheet1!S370)=0, " ", Sheet1!S370)</f>
        <v xml:space="preserve"> </v>
      </c>
      <c r="O149" t="str">
        <f>IF(LEN(Sheet1!U370)=0, " ", Sheet1!U370)</f>
        <v xml:space="preserve"> </v>
      </c>
    </row>
    <row r="150" spans="1:15" x14ac:dyDescent="0.45">
      <c r="A150" t="str">
        <f>IF(LEN(Sheet1!A371)=0, " ", Sheet1!A371)</f>
        <v xml:space="preserve"> </v>
      </c>
      <c r="B150" t="str">
        <f>IF(LEN(Sheet1!C371)=0, " ", Sheet1!C371)</f>
        <v xml:space="preserve"> </v>
      </c>
      <c r="C150" t="str">
        <f>IF(LEN(Sheet1!E371)=0, " ", Sheet1!E371)</f>
        <v xml:space="preserve"> </v>
      </c>
      <c r="D150" t="s">
        <v>14</v>
      </c>
      <c r="F150" t="str">
        <f>IF(LEN(Sheet1!G371)=0, " ", Sheet1!G371)</f>
        <v xml:space="preserve"> </v>
      </c>
      <c r="G150" t="str">
        <f>IF(LEN(Sheet1!I371)=0, " ", Sheet1!I371)</f>
        <v xml:space="preserve"> </v>
      </c>
      <c r="H150" t="str">
        <f>IF(LEN(Sheet1!K371)=0, " ", Sheet1!K371)</f>
        <v xml:space="preserve"> </v>
      </c>
      <c r="I150" t="str">
        <f>IF(LEN(Sheet1!M371)=0, " ", Sheet1!M371)</f>
        <v xml:space="preserve"> </v>
      </c>
      <c r="J150" t="str">
        <f>IF(LEN(Sheet1!O371)=0, " ", Sheet1!O371)</f>
        <v xml:space="preserve"> </v>
      </c>
      <c r="K150" t="str">
        <f>IF(LEN(Sheet1!Q371)=0, " ", Sheet1!Q371)</f>
        <v xml:space="preserve"> </v>
      </c>
      <c r="L150" t="str">
        <f>IF(LEN(Sheet1!W371)=0, " ", Sheet1!W371)</f>
        <v xml:space="preserve"> </v>
      </c>
      <c r="M150" t="s">
        <v>14</v>
      </c>
      <c r="N150" t="str">
        <f>IF(LEN(Sheet1!S371)=0, " ", Sheet1!S371)</f>
        <v xml:space="preserve"> </v>
      </c>
      <c r="O150" t="str">
        <f>IF(LEN(Sheet1!U371)=0, " ", Sheet1!U371)</f>
        <v xml:space="preserve"> </v>
      </c>
    </row>
  </sheetData>
  <phoneticPr fontId="1" type="noConversion"/>
  <pageMargins left="0.7" right="0.7" top="0.75" bottom="0.75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Views>
    <sheetView zoomScale="85" zoomScaleNormal="85" workbookViewId="0">
      <pane ySplit="1" topLeftCell="A2" activePane="bottomLeft" state="frozen"/>
      <selection pane="bottomLeft" activeCell="A2" sqref="A2"/>
    </sheetView>
  </sheetViews>
  <sheetFormatPr defaultColWidth="8.58203125" defaultRowHeight="17" x14ac:dyDescent="0.45"/>
  <cols>
    <col min="2" max="2" width="46.33203125" customWidth="1"/>
    <col min="3" max="3" width="8.83203125" bestFit="1" customWidth="1"/>
    <col min="6" max="6" width="10.5" bestFit="1" customWidth="1"/>
  </cols>
  <sheetData>
    <row r="1" spans="1:7" x14ac:dyDescent="0.45">
      <c r="A1" t="s">
        <v>0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</row>
    <row r="2" spans="1:7" x14ac:dyDescent="0.45">
      <c r="A2">
        <f>Sheet1!A2</f>
        <v>10000</v>
      </c>
      <c r="B2" t="str">
        <f>Sheet1!C2</f>
        <v>UTIL_CELL_ID</v>
      </c>
      <c r="C2" t="str">
        <f>IFERROR(IF(OR(LEN(TRIM(Sheet1!G2))=0, Sheet1!G2="N/A"), "-", Sheet1!G2),"-")</f>
        <v>-</v>
      </c>
      <c r="D2" t="str">
        <f>IFERROR(IF(OR(LEN(TRIM(Sheet1!I2))=0, Sheet1!I2="N/A"), "-", Sheet1!I2),"-")</f>
        <v>-</v>
      </c>
      <c r="E2" t="str">
        <f>IFERROR(IF(OR(LEN(TRIM(Sheet1!K2))=0, Sheet1!K2="N/A"), "-", Sheet1!K2),"-")</f>
        <v>-</v>
      </c>
      <c r="F2" t="str">
        <f>IF(Sheet1!W2="STRING","ASCII",IF(Sheet1!W2="INTEGER","FLOAT",Sheet1!W2))</f>
        <v>ASCII</v>
      </c>
      <c r="G2" t="str">
        <f>Sheet1!U2</f>
        <v>년월일시분초 상시보고</v>
      </c>
    </row>
    <row r="3" spans="1:7" x14ac:dyDescent="0.45">
      <c r="A3">
        <f>Sheet1!A3</f>
        <v>10001</v>
      </c>
      <c r="B3" t="str">
        <f>Sheet1!C3</f>
        <v>UTIL_STEP_ID</v>
      </c>
      <c r="C3" t="str">
        <f>IFERROR(IF(OR(LEN(TRIM(Sheet1!G3))=0, Sheet1!G3="N/A"), "-", Sheet1!G3),"-")</f>
        <v>-</v>
      </c>
      <c r="D3">
        <f>IFERROR(IF(OR(LEN(TRIM(Sheet1!I3))=0, Sheet1!I3="N/A"), "-", Sheet1!I3),"-")</f>
        <v>0</v>
      </c>
      <c r="E3">
        <f>IFERROR(IF(OR(LEN(TRIM(Sheet1!K3))=0, Sheet1!K3="N/A"), "-", Sheet1!K3),"-")</f>
        <v>2</v>
      </c>
      <c r="F3" t="str">
        <f>IF(Sheet1!W3="STRING","ASCII",IF(Sheet1!W3="INTEGER","FLOAT",Sheet1!W3))</f>
        <v>FLOAT</v>
      </c>
      <c r="G3" t="str">
        <f>Sheet1!U3</f>
        <v>AUTO : 2 / STOP : 0</v>
      </c>
    </row>
    <row r="4" spans="1:7" x14ac:dyDescent="0.45">
      <c r="A4">
        <f>Sheet1!A4</f>
        <v>10002</v>
      </c>
      <c r="B4" t="str">
        <f>Sheet1!C4</f>
        <v>USE_IN_ROBOT_MCR</v>
      </c>
      <c r="C4" t="str">
        <f>IFERROR(IF(OR(LEN(TRIM(Sheet1!G4))=0, Sheet1!G4="N/A"), "-", Sheet1!G4),"-")</f>
        <v>-</v>
      </c>
      <c r="D4">
        <f>IFERROR(IF(OR(LEN(TRIM(Sheet1!I4))=0, Sheet1!I4="N/A"), "-", Sheet1!I4),"-")</f>
        <v>0</v>
      </c>
      <c r="E4">
        <f>IFERROR(IF(OR(LEN(TRIM(Sheet1!K4))=0, Sheet1!K4="N/A"), "-", Sheet1!K4),"-")</f>
        <v>1</v>
      </c>
      <c r="F4" t="str">
        <f>IF(Sheet1!W4="STRING","ASCII",IF(Sheet1!W4="INTEGER","FLOAT",Sheet1!W4))</f>
        <v>FLOAT</v>
      </c>
      <c r="G4" t="str">
        <f>Sheet1!U4</f>
        <v>IN_ROBOT MCR 사용 여부 (0: Not Use 1: Use)</v>
      </c>
    </row>
    <row r="5" spans="1:7" x14ac:dyDescent="0.45">
      <c r="A5">
        <f>Sheet1!A5</f>
        <v>10003</v>
      </c>
      <c r="B5" t="str">
        <f>Sheet1!C5</f>
        <v>USE_INSP_STAGE_MAIN_VISION</v>
      </c>
      <c r="C5" t="str">
        <f>IFERROR(IF(OR(LEN(TRIM(Sheet1!G5))=0, Sheet1!G5="N/A"), "-", Sheet1!G5),"-")</f>
        <v>-</v>
      </c>
      <c r="D5">
        <f>IFERROR(IF(OR(LEN(TRIM(Sheet1!I5))=0, Sheet1!I5="N/A"), "-", Sheet1!I5),"-")</f>
        <v>0</v>
      </c>
      <c r="E5">
        <f>IFERROR(IF(OR(LEN(TRIM(Sheet1!K5))=0, Sheet1!K5="N/A"), "-", Sheet1!K5),"-")</f>
        <v>1</v>
      </c>
      <c r="F5" t="str">
        <f>IF(Sheet1!W5="STRING","ASCII",IF(Sheet1!W5="INTEGER","FLOAT",Sheet1!W5))</f>
        <v>FLOAT</v>
      </c>
      <c r="G5" t="str">
        <f>Sheet1!U5</f>
        <v>검사기 사용 여부 (0: Not Use 1: Use)</v>
      </c>
    </row>
    <row r="6" spans="1:7" x14ac:dyDescent="0.45">
      <c r="A6">
        <f>Sheet1!A6</f>
        <v>10004</v>
      </c>
      <c r="B6" t="str">
        <f>Sheet1!C6</f>
        <v>RUN_EFU</v>
      </c>
      <c r="C6" t="str">
        <f>IFERROR(IF(OR(LEN(TRIM(Sheet1!G6))=0, Sheet1!G6="N/A"), "-", Sheet1!G6),"-")</f>
        <v>-</v>
      </c>
      <c r="D6">
        <f>IFERROR(IF(OR(LEN(TRIM(Sheet1!I6))=0, Sheet1!I6="N/A"), "-", Sheet1!I6),"-")</f>
        <v>0</v>
      </c>
      <c r="E6">
        <f>IFERROR(IF(OR(LEN(TRIM(Sheet1!K6))=0, Sheet1!K6="N/A"), "-", Sheet1!K6),"-")</f>
        <v>1</v>
      </c>
      <c r="F6" t="str">
        <f>IF(Sheet1!W6="STRING","ASCII",IF(Sheet1!W6="INTEGER","FLOAT",Sheet1!W6))</f>
        <v>FLOAT</v>
      </c>
      <c r="G6" t="str">
        <f>Sheet1!U6</f>
        <v>EFU 동작 여부 (0: Not Run 1: Run)</v>
      </c>
    </row>
    <row r="7" spans="1:7" x14ac:dyDescent="0.45">
      <c r="A7">
        <f>Sheet1!A7</f>
        <v>10005</v>
      </c>
      <c r="B7" t="str">
        <f>Sheet1!C7</f>
        <v>EFU_RPM_1</v>
      </c>
      <c r="C7" t="str">
        <f>IFERROR(IF(OR(LEN(TRIM(Sheet1!G7))=0, Sheet1!G7="N/A"), "-", Sheet1!G7),"-")</f>
        <v>RPM</v>
      </c>
      <c r="D7">
        <f>IFERROR(IF(OR(LEN(TRIM(Sheet1!I7))=0, Sheet1!I7="N/A"), "-", Sheet1!I7),"-")</f>
        <v>0</v>
      </c>
      <c r="E7">
        <f>IFERROR(IF(OR(LEN(TRIM(Sheet1!K7))=0, Sheet1!K7="N/A"), "-", Sheet1!K7),"-")</f>
        <v>1400</v>
      </c>
      <c r="F7" t="str">
        <f>IF(Sheet1!W7="STRING","ASCII",IF(Sheet1!W7="INTEGER","FLOAT",Sheet1!W7))</f>
        <v>FLOAT</v>
      </c>
      <c r="G7" t="str">
        <f>Sheet1!U7</f>
        <v>설비 상부에 장착되는 EFU#1의 회전속도값</v>
      </c>
    </row>
    <row r="8" spans="1:7" x14ac:dyDescent="0.45">
      <c r="A8">
        <f>Sheet1!A8</f>
        <v>10006</v>
      </c>
      <c r="B8" t="str">
        <f>Sheet1!C8</f>
        <v>MAIN_ELECTRICAL_TEMP</v>
      </c>
      <c r="C8" t="str">
        <f>IFERROR(IF(OR(LEN(TRIM(Sheet1!G8))=0, Sheet1!G8="N/A"), "-", Sheet1!G8),"-")</f>
        <v>℃</v>
      </c>
      <c r="D8">
        <f>IFERROR(IF(OR(LEN(TRIM(Sheet1!I8))=0, Sheet1!I8="N/A"), "-", Sheet1!I8),"-")</f>
        <v>0</v>
      </c>
      <c r="E8">
        <f>IFERROR(IF(OR(LEN(TRIM(Sheet1!K8))=0, Sheet1!K8="N/A"), "-", Sheet1!K8),"-")</f>
        <v>100</v>
      </c>
      <c r="F8" t="str">
        <f>IF(Sheet1!W8="STRING","ASCII",IF(Sheet1!W8="INTEGER","FLOAT",Sheet1!W8))</f>
        <v>FLOAT</v>
      </c>
      <c r="G8" t="str">
        <f>Sheet1!U8</f>
        <v>MAIN 전장반 온도</v>
      </c>
    </row>
    <row r="9" spans="1:7" x14ac:dyDescent="0.45">
      <c r="A9">
        <f>Sheet1!A9</f>
        <v>10007</v>
      </c>
      <c r="B9" t="str">
        <f>Sheet1!C9</f>
        <v>MAIN_PCRACK_TEMP</v>
      </c>
      <c r="C9" t="str">
        <f>IFERROR(IF(OR(LEN(TRIM(Sheet1!G9))=0, Sheet1!G9="N/A"), "-", Sheet1!G9),"-")</f>
        <v>℃</v>
      </c>
      <c r="D9">
        <f>IFERROR(IF(OR(LEN(TRIM(Sheet1!I9))=0, Sheet1!I9="N/A"), "-", Sheet1!I9),"-")</f>
        <v>0</v>
      </c>
      <c r="E9">
        <f>IFERROR(IF(OR(LEN(TRIM(Sheet1!K9))=0, Sheet1!K9="N/A"), "-", Sheet1!K9),"-")</f>
        <v>100</v>
      </c>
      <c r="F9" t="str">
        <f>IF(Sheet1!W9="STRING","ASCII",IF(Sheet1!W9="INTEGER","FLOAT",Sheet1!W9))</f>
        <v>FLOAT</v>
      </c>
      <c r="G9" t="str">
        <f>Sheet1!U9</f>
        <v>PC 랙 온도</v>
      </c>
    </row>
    <row r="10" spans="1:7" x14ac:dyDescent="0.45">
      <c r="A10">
        <f>Sheet1!A10</f>
        <v>10008</v>
      </c>
      <c r="B10" t="str">
        <f>Sheet1!C10</f>
        <v>USE_IN_SHUTTLE_PRE_ALIGN</v>
      </c>
      <c r="C10" t="str">
        <f>IFERROR(IF(OR(LEN(TRIM(Sheet1!G10))=0, Sheet1!G10="N/A"), "-", Sheet1!G10),"-")</f>
        <v>-</v>
      </c>
      <c r="D10">
        <f>IFERROR(IF(OR(LEN(TRIM(Sheet1!I10))=0, Sheet1!I10="N/A"), "-", Sheet1!I10),"-")</f>
        <v>0</v>
      </c>
      <c r="E10">
        <f>IFERROR(IF(OR(LEN(TRIM(Sheet1!K10))=0, Sheet1!K10="N/A"), "-", Sheet1!K10),"-")</f>
        <v>1</v>
      </c>
      <c r="F10" t="str">
        <f>IF(Sheet1!W10="STRING","ASCII",IF(Sheet1!W10="INTEGER","FLOAT",Sheet1!W10))</f>
        <v>FLOAT</v>
      </c>
      <c r="G10" t="str">
        <f>Sheet1!U10</f>
        <v>In Shuttle Pre-Align 사용 여부</v>
      </c>
    </row>
    <row r="11" spans="1:7" x14ac:dyDescent="0.45">
      <c r="A11">
        <f>Sheet1!A11</f>
        <v>10009</v>
      </c>
      <c r="B11" t="str">
        <f>Sheet1!C11</f>
        <v>IN_SHUTTLE_PRE_ALIGN_SCORE_SETTING</v>
      </c>
      <c r="C11" t="str">
        <f>IFERROR(IF(OR(LEN(TRIM(Sheet1!G11))=0, Sheet1!G11="N/A"), "-", Sheet1!G11),"-")</f>
        <v>%</v>
      </c>
      <c r="D11">
        <f>IFERROR(IF(OR(LEN(TRIM(Sheet1!I11))=0, Sheet1!I11="N/A"), "-", Sheet1!I11),"-")</f>
        <v>0</v>
      </c>
      <c r="E11">
        <f>IFERROR(IF(OR(LEN(TRIM(Sheet1!K11))=0, Sheet1!K11="N/A"), "-", Sheet1!K11),"-")</f>
        <v>100</v>
      </c>
      <c r="F11" t="str">
        <f>IF(Sheet1!W11="STRING","ASCII",IF(Sheet1!W11="INTEGER","FLOAT",Sheet1!W11))</f>
        <v>FLOAT</v>
      </c>
      <c r="G11" t="str">
        <f>Sheet1!U11</f>
        <v>In Shuttle Pre-Align Score 인터락 세팅값</v>
      </c>
    </row>
    <row r="12" spans="1:7" x14ac:dyDescent="0.45">
      <c r="A12">
        <f>Sheet1!A12</f>
        <v>10010</v>
      </c>
      <c r="B12" t="str">
        <f>Sheet1!C12</f>
        <v>IN_SHUTTLE_P1_PRE_ALIGN_CELL_ID</v>
      </c>
      <c r="C12" t="str">
        <f>IFERROR(IF(OR(LEN(TRIM(Sheet1!G12))=0, Sheet1!G12="N/A"), "-", Sheet1!G12),"-")</f>
        <v>-</v>
      </c>
      <c r="D12" t="str">
        <f>IFERROR(IF(OR(LEN(TRIM(Sheet1!I12))=0, Sheet1!I12="N/A"), "-", Sheet1!I12),"-")</f>
        <v>-</v>
      </c>
      <c r="E12" t="str">
        <f>IFERROR(IF(OR(LEN(TRIM(Sheet1!K12))=0, Sheet1!K12="N/A"), "-", Sheet1!K12),"-")</f>
        <v>-</v>
      </c>
      <c r="F12" t="str">
        <f>IF(Sheet1!W12="STRING","ASCII",IF(Sheet1!W12="INTEGER","FLOAT",Sheet1!W12))</f>
        <v>ASCII</v>
      </c>
      <c r="G12" t="str">
        <f>Sheet1!U12</f>
        <v>In Shuttle P1 Pre-Align Cell ID</v>
      </c>
    </row>
    <row r="13" spans="1:7" x14ac:dyDescent="0.45">
      <c r="A13">
        <f>Sheet1!A13</f>
        <v>10011</v>
      </c>
      <c r="B13" t="str">
        <f>Sheet1!C13</f>
        <v>IN_SHUTTLE_P1_PRE_ALIGN_STEP_ID</v>
      </c>
      <c r="C13" t="str">
        <f>IFERROR(IF(OR(LEN(TRIM(Sheet1!G13))=0, Sheet1!G13="N/A"), "-", Sheet1!G13),"-")</f>
        <v>-</v>
      </c>
      <c r="D13">
        <f>IFERROR(IF(OR(LEN(TRIM(Sheet1!I13))=0, Sheet1!I13="N/A"), "-", Sheet1!I13),"-")</f>
        <v>0</v>
      </c>
      <c r="E13">
        <f>IFERROR(IF(OR(LEN(TRIM(Sheet1!K13))=0, Sheet1!K13="N/A"), "-", Sheet1!K13),"-")</f>
        <v>2</v>
      </c>
      <c r="F13" t="str">
        <f>IF(Sheet1!W13="STRING","ASCII",IF(Sheet1!W13="INTEGER","FLOAT",Sheet1!W13))</f>
        <v>FLOAT</v>
      </c>
      <c r="G13" t="str">
        <f>Sheet1!U13</f>
        <v>In Shuttle P1 Pre-Align Step ID</v>
      </c>
    </row>
    <row r="14" spans="1:7" x14ac:dyDescent="0.45">
      <c r="A14">
        <f>Sheet1!A14</f>
        <v>10012</v>
      </c>
      <c r="B14" t="str">
        <f>Sheet1!C14</f>
        <v>IN_SHUTTLE_P1_PRE_ALIGN_DATA_SCORE</v>
      </c>
      <c r="C14" t="str">
        <f>IFERROR(IF(OR(LEN(TRIM(Sheet1!G14))=0, Sheet1!G14="N/A"), "-", Sheet1!G14),"-")</f>
        <v>%</v>
      </c>
      <c r="D14">
        <f>IFERROR(IF(OR(LEN(TRIM(Sheet1!I14))=0, Sheet1!I14="N/A"), "-", Sheet1!I14),"-")</f>
        <v>0</v>
      </c>
      <c r="E14">
        <f>IFERROR(IF(OR(LEN(TRIM(Sheet1!K14))=0, Sheet1!K14="N/A"), "-", Sheet1!K14),"-")</f>
        <v>100</v>
      </c>
      <c r="F14" t="str">
        <f>IF(Sheet1!W14="STRING","ASCII",IF(Sheet1!W14="INTEGER","FLOAT",Sheet1!W14))</f>
        <v>FLOAT</v>
      </c>
      <c r="G14" t="str">
        <f>Sheet1!U14</f>
        <v>In Shuttle P1 Pre-Align Data Score</v>
      </c>
    </row>
    <row r="15" spans="1:7" x14ac:dyDescent="0.45">
      <c r="A15">
        <f>Sheet1!A15</f>
        <v>10013</v>
      </c>
      <c r="B15" t="str">
        <f>Sheet1!C15</f>
        <v>IN_SHUTTLE_P1_PRE_ALIGN_DATA_X</v>
      </c>
      <c r="C15" t="str">
        <f>IFERROR(IF(OR(LEN(TRIM(Sheet1!G15))=0, Sheet1!G15="N/A"), "-", Sheet1!G15),"-")</f>
        <v>mm</v>
      </c>
      <c r="D15">
        <f>IFERROR(IF(OR(LEN(TRIM(Sheet1!I15))=0, Sheet1!I15="N/A"), "-", Sheet1!I15),"-")</f>
        <v>-999</v>
      </c>
      <c r="E15">
        <f>IFERROR(IF(OR(LEN(TRIM(Sheet1!K15))=0, Sheet1!K15="N/A"), "-", Sheet1!K15),"-")</f>
        <v>999</v>
      </c>
      <c r="F15" t="str">
        <f>IF(Sheet1!W15="STRING","ASCII",IF(Sheet1!W15="INTEGER","FLOAT",Sheet1!W15))</f>
        <v>FLOAT</v>
      </c>
      <c r="G15" t="str">
        <f>Sheet1!U15</f>
        <v>In Shuttle P1 Pre-Align Data X</v>
      </c>
    </row>
    <row r="16" spans="1:7" x14ac:dyDescent="0.45">
      <c r="A16">
        <f>Sheet1!A16</f>
        <v>10014</v>
      </c>
      <c r="B16" t="str">
        <f>Sheet1!C16</f>
        <v>IN_SHUTTLE_P1_PRE_ALIGN_DATA_Y</v>
      </c>
      <c r="C16" t="str">
        <f>IFERROR(IF(OR(LEN(TRIM(Sheet1!G16))=0, Sheet1!G16="N/A"), "-", Sheet1!G16),"-")</f>
        <v>mm</v>
      </c>
      <c r="D16">
        <f>IFERROR(IF(OR(LEN(TRIM(Sheet1!I16))=0, Sheet1!I16="N/A"), "-", Sheet1!I16),"-")</f>
        <v>-999</v>
      </c>
      <c r="E16">
        <f>IFERROR(IF(OR(LEN(TRIM(Sheet1!K16))=0, Sheet1!K16="N/A"), "-", Sheet1!K16),"-")</f>
        <v>999</v>
      </c>
      <c r="F16" t="str">
        <f>IF(Sheet1!W16="STRING","ASCII",IF(Sheet1!W16="INTEGER","FLOAT",Sheet1!W16))</f>
        <v>FLOAT</v>
      </c>
      <c r="G16" t="str">
        <f>Sheet1!U16</f>
        <v>In Shuttle P1 Pre-Align Data Y</v>
      </c>
    </row>
    <row r="17" spans="1:7" x14ac:dyDescent="0.45">
      <c r="A17">
        <f>Sheet1!A17</f>
        <v>10015</v>
      </c>
      <c r="B17" t="str">
        <f>Sheet1!C17</f>
        <v>IN_SHUTTLE_P1_PRE_ALIGN_DATA_T</v>
      </c>
      <c r="C17" t="str">
        <f>IFERROR(IF(OR(LEN(TRIM(Sheet1!G17))=0, Sheet1!G17="N/A"), "-", Sheet1!G17),"-")</f>
        <v>º</v>
      </c>
      <c r="D17">
        <f>IFERROR(IF(OR(LEN(TRIM(Sheet1!I17))=0, Sheet1!I17="N/A"), "-", Sheet1!I17),"-")</f>
        <v>-999</v>
      </c>
      <c r="E17">
        <f>IFERROR(IF(OR(LEN(TRIM(Sheet1!K17))=0, Sheet1!K17="N/A"), "-", Sheet1!K17),"-")</f>
        <v>999</v>
      </c>
      <c r="F17" t="str">
        <f>IF(Sheet1!W17="STRING","ASCII",IF(Sheet1!W17="INTEGER","FLOAT",Sheet1!W17))</f>
        <v>FLOAT</v>
      </c>
      <c r="G17" t="str">
        <f>Sheet1!U17</f>
        <v>In Shuttle P1 Pre-Align Data T</v>
      </c>
    </row>
    <row r="18" spans="1:7" x14ac:dyDescent="0.45">
      <c r="A18">
        <f>Sheet1!A18</f>
        <v>10016</v>
      </c>
      <c r="B18" t="str">
        <f>Sheet1!C18</f>
        <v>IN_SHUTTLE_P2_PRE_ALIGN_CELL_ID</v>
      </c>
      <c r="C18" t="str">
        <f>IFERROR(IF(OR(LEN(TRIM(Sheet1!G18))=0, Sheet1!G18="N/A"), "-", Sheet1!G18),"-")</f>
        <v>-</v>
      </c>
      <c r="D18" t="str">
        <f>IFERROR(IF(OR(LEN(TRIM(Sheet1!I18))=0, Sheet1!I18="N/A"), "-", Sheet1!I18),"-")</f>
        <v>-</v>
      </c>
      <c r="E18" t="str">
        <f>IFERROR(IF(OR(LEN(TRIM(Sheet1!K18))=0, Sheet1!K18="N/A"), "-", Sheet1!K18),"-")</f>
        <v>-</v>
      </c>
      <c r="F18" t="str">
        <f>IF(Sheet1!W18="STRING","ASCII",IF(Sheet1!W18="INTEGER","FLOAT",Sheet1!W18))</f>
        <v>ASCII</v>
      </c>
      <c r="G18" t="str">
        <f>Sheet1!U18</f>
        <v>In Shuttle P2 Pre-Align Cell ID</v>
      </c>
    </row>
    <row r="19" spans="1:7" x14ac:dyDescent="0.45">
      <c r="A19">
        <f>Sheet1!A19</f>
        <v>10017</v>
      </c>
      <c r="B19" t="str">
        <f>Sheet1!C19</f>
        <v>IN_SHUTTLE_P2_PRE_ALIGN_STEP_ID</v>
      </c>
      <c r="C19" t="str">
        <f>IFERROR(IF(OR(LEN(TRIM(Sheet1!G19))=0, Sheet1!G19="N/A"), "-", Sheet1!G19),"-")</f>
        <v>-</v>
      </c>
      <c r="D19">
        <f>IFERROR(IF(OR(LEN(TRIM(Sheet1!I19))=0, Sheet1!I19="N/A"), "-", Sheet1!I19),"-")</f>
        <v>0</v>
      </c>
      <c r="E19">
        <f>IFERROR(IF(OR(LEN(TRIM(Sheet1!K19))=0, Sheet1!K19="N/A"), "-", Sheet1!K19),"-")</f>
        <v>2</v>
      </c>
      <c r="F19" t="str">
        <f>IF(Sheet1!W19="STRING","ASCII",IF(Sheet1!W19="INTEGER","FLOAT",Sheet1!W19))</f>
        <v>FLOAT</v>
      </c>
      <c r="G19" t="str">
        <f>Sheet1!U19</f>
        <v>In Shuttle P2 Pre-Align Step ID</v>
      </c>
    </row>
    <row r="20" spans="1:7" x14ac:dyDescent="0.45">
      <c r="A20">
        <f>Sheet1!A20</f>
        <v>10018</v>
      </c>
      <c r="B20" t="str">
        <f>Sheet1!C20</f>
        <v>IN_SHUTTLE_P2_PRE_ALIGN_DATA_SCORE</v>
      </c>
      <c r="C20" t="str">
        <f>IFERROR(IF(OR(LEN(TRIM(Sheet1!G20))=0, Sheet1!G20="N/A"), "-", Sheet1!G20),"-")</f>
        <v>%</v>
      </c>
      <c r="D20">
        <f>IFERROR(IF(OR(LEN(TRIM(Sheet1!I20))=0, Sheet1!I20="N/A"), "-", Sheet1!I20),"-")</f>
        <v>0</v>
      </c>
      <c r="E20">
        <f>IFERROR(IF(OR(LEN(TRIM(Sheet1!K20))=0, Sheet1!K20="N/A"), "-", Sheet1!K20),"-")</f>
        <v>100</v>
      </c>
      <c r="F20" t="str">
        <f>IF(Sheet1!W20="STRING","ASCII",IF(Sheet1!W20="INTEGER","FLOAT",Sheet1!W20))</f>
        <v>FLOAT</v>
      </c>
      <c r="G20" t="str">
        <f>Sheet1!U20</f>
        <v>In Shuttle P2 Pre-Align Data Score</v>
      </c>
    </row>
    <row r="21" spans="1:7" x14ac:dyDescent="0.45">
      <c r="A21">
        <f>Sheet1!A21</f>
        <v>10019</v>
      </c>
      <c r="B21" t="str">
        <f>Sheet1!C21</f>
        <v>IN_SHUTTLE_P2_PRE_ALIGN_DATA_X</v>
      </c>
      <c r="C21" t="str">
        <f>IFERROR(IF(OR(LEN(TRIM(Sheet1!G21))=0, Sheet1!G21="N/A"), "-", Sheet1!G21),"-")</f>
        <v>mm</v>
      </c>
      <c r="D21">
        <f>IFERROR(IF(OR(LEN(TRIM(Sheet1!I21))=0, Sheet1!I21="N/A"), "-", Sheet1!I21),"-")</f>
        <v>-999</v>
      </c>
      <c r="E21">
        <f>IFERROR(IF(OR(LEN(TRIM(Sheet1!K21))=0, Sheet1!K21="N/A"), "-", Sheet1!K21),"-")</f>
        <v>999</v>
      </c>
      <c r="F21" t="str">
        <f>IF(Sheet1!W21="STRING","ASCII",IF(Sheet1!W21="INTEGER","FLOAT",Sheet1!W21))</f>
        <v>FLOAT</v>
      </c>
      <c r="G21" t="str">
        <f>Sheet1!U21</f>
        <v>In Shuttle P2 Pre-Align Data X</v>
      </c>
    </row>
    <row r="22" spans="1:7" x14ac:dyDescent="0.45">
      <c r="A22">
        <f>Sheet1!A22</f>
        <v>10020</v>
      </c>
      <c r="B22" t="str">
        <f>Sheet1!C22</f>
        <v>IN_SHUTTLE_P2_PRE_ALIGN_DATA_Y</v>
      </c>
      <c r="C22" t="str">
        <f>IFERROR(IF(OR(LEN(TRIM(Sheet1!G22))=0, Sheet1!G22="N/A"), "-", Sheet1!G22),"-")</f>
        <v>mm</v>
      </c>
      <c r="D22">
        <f>IFERROR(IF(OR(LEN(TRIM(Sheet1!I22))=0, Sheet1!I22="N/A"), "-", Sheet1!I22),"-")</f>
        <v>-999</v>
      </c>
      <c r="E22">
        <f>IFERROR(IF(OR(LEN(TRIM(Sheet1!K22))=0, Sheet1!K22="N/A"), "-", Sheet1!K22),"-")</f>
        <v>999</v>
      </c>
      <c r="F22" t="str">
        <f>IF(Sheet1!W22="STRING","ASCII",IF(Sheet1!W22="INTEGER","FLOAT",Sheet1!W22))</f>
        <v>FLOAT</v>
      </c>
      <c r="G22" t="str">
        <f>Sheet1!U22</f>
        <v>In Shuttle P2 Pre-Align Data Y</v>
      </c>
    </row>
    <row r="23" spans="1:7" x14ac:dyDescent="0.45">
      <c r="A23">
        <f>Sheet1!A23</f>
        <v>10021</v>
      </c>
      <c r="B23" t="str">
        <f>Sheet1!C23</f>
        <v>IN_SHUTTLE_P2_PRE_ALIGN_DATA_T</v>
      </c>
      <c r="C23" t="str">
        <f>IFERROR(IF(OR(LEN(TRIM(Sheet1!G23))=0, Sheet1!G23="N/A"), "-", Sheet1!G23),"-")</f>
        <v>º</v>
      </c>
      <c r="D23">
        <f>IFERROR(IF(OR(LEN(TRIM(Sheet1!I23))=0, Sheet1!I23="N/A"), "-", Sheet1!I23),"-")</f>
        <v>-999</v>
      </c>
      <c r="E23">
        <f>IFERROR(IF(OR(LEN(TRIM(Sheet1!K23))=0, Sheet1!K23="N/A"), "-", Sheet1!K23),"-")</f>
        <v>999</v>
      </c>
      <c r="F23" t="str">
        <f>IF(Sheet1!W23="STRING","ASCII",IF(Sheet1!W23="INTEGER","FLOAT",Sheet1!W23))</f>
        <v>FLOAT</v>
      </c>
      <c r="G23" t="str">
        <f>Sheet1!U23</f>
        <v>In Shuttle P2 Pre-Align Data T</v>
      </c>
    </row>
    <row r="24" spans="1:7" x14ac:dyDescent="0.45">
      <c r="A24">
        <f>Sheet1!A24</f>
        <v>10022</v>
      </c>
      <c r="B24" t="str">
        <f>Sheet1!C24</f>
        <v>MAIN_VACUUM_PRESSURE</v>
      </c>
      <c r="C24" t="str">
        <f>IFERROR(IF(OR(LEN(TRIM(Sheet1!G24))=0, Sheet1!G24="N/A"), "-", Sheet1!G24),"-")</f>
        <v>kPa</v>
      </c>
      <c r="D24">
        <f>IFERROR(IF(OR(LEN(TRIM(Sheet1!I24))=0, Sheet1!I24="N/A"), "-", Sheet1!I24),"-")</f>
        <v>-90</v>
      </c>
      <c r="E24">
        <f>IFERROR(IF(OR(LEN(TRIM(Sheet1!K24))=0, Sheet1!K24="N/A"), "-", Sheet1!K24),"-")</f>
        <v>0</v>
      </c>
      <c r="F24" t="str">
        <f>IF(Sheet1!W24="STRING","ASCII",IF(Sheet1!W24="INTEGER","FLOAT",Sheet1!W24))</f>
        <v>FLOAT</v>
      </c>
      <c r="G24" t="str">
        <f>Sheet1!U24</f>
        <v>설비에 공급되는 Main Vacuum에 대한 압력값</v>
      </c>
    </row>
    <row r="25" spans="1:7" x14ac:dyDescent="0.45">
      <c r="A25">
        <f>Sheet1!A25</f>
        <v>10023</v>
      </c>
      <c r="B25" t="str">
        <f>Sheet1!C25</f>
        <v>INSP_STAGE_MAIN_VACUUM_PRESSURE</v>
      </c>
      <c r="C25" t="str">
        <f>IFERROR(IF(OR(LEN(TRIM(Sheet1!G25))=0, Sheet1!G25="N/A"), "-", Sheet1!G25),"-")</f>
        <v>kPa</v>
      </c>
      <c r="D25">
        <f>IFERROR(IF(OR(LEN(TRIM(Sheet1!I25))=0, Sheet1!I25="N/A"), "-", Sheet1!I25),"-")</f>
        <v>-90</v>
      </c>
      <c r="E25">
        <f>IFERROR(IF(OR(LEN(TRIM(Sheet1!K25))=0, Sheet1!K25="N/A"), "-", Sheet1!K25),"-")</f>
        <v>0</v>
      </c>
      <c r="F25" t="str">
        <f>IF(Sheet1!W25="STRING","ASCII",IF(Sheet1!W25="INTEGER","FLOAT",Sheet1!W25))</f>
        <v>FLOAT</v>
      </c>
      <c r="G25" t="str">
        <f>Sheet1!U25</f>
        <v>설비에 공급되는 검사스테이지 Main Vacuum에 대한 압력값</v>
      </c>
    </row>
    <row r="26" spans="1:7" x14ac:dyDescent="0.45">
      <c r="A26">
        <f>Sheet1!A26</f>
        <v>10024</v>
      </c>
      <c r="B26" t="str">
        <f>Sheet1!C26</f>
        <v>MAIN_CDA_PRESSURE</v>
      </c>
      <c r="C26" t="str">
        <f>IFERROR(IF(OR(LEN(TRIM(Sheet1!G26))=0, Sheet1!G26="N/A"), "-", Sheet1!G26),"-")</f>
        <v>MPa</v>
      </c>
      <c r="D26">
        <f>IFERROR(IF(OR(LEN(TRIM(Sheet1!I26))=0, Sheet1!I26="N/A"), "-", Sheet1!I26),"-")</f>
        <v>0</v>
      </c>
      <c r="E26">
        <f>IFERROR(IF(OR(LEN(TRIM(Sheet1!K26))=0, Sheet1!K26="N/A"), "-", Sheet1!K26),"-")</f>
        <v>0.7</v>
      </c>
      <c r="F26" t="str">
        <f>IF(Sheet1!W26="STRING","ASCII",IF(Sheet1!W26="INTEGER","FLOAT",Sheet1!W26))</f>
        <v>FLOAT</v>
      </c>
      <c r="G26" t="str">
        <f>Sheet1!U26</f>
        <v>설비에 공급되는 Main Air에 대한 압력값</v>
      </c>
    </row>
    <row r="27" spans="1:7" x14ac:dyDescent="0.45">
      <c r="A27">
        <f>Sheet1!A27</f>
        <v>10025</v>
      </c>
      <c r="B27" t="str">
        <f>Sheet1!C27</f>
        <v>IN_SHUTTLE_P1_CELL_ID</v>
      </c>
      <c r="C27" t="str">
        <f>IFERROR(IF(OR(LEN(TRIM(Sheet1!G27))=0, Sheet1!G27="N/A"), "-", Sheet1!G27),"-")</f>
        <v>-</v>
      </c>
      <c r="D27" t="str">
        <f>IFERROR(IF(OR(LEN(TRIM(Sheet1!I27))=0, Sheet1!I27="N/A"), "-", Sheet1!I27),"-")</f>
        <v>-</v>
      </c>
      <c r="E27" t="str">
        <f>IFERROR(IF(OR(LEN(TRIM(Sheet1!K27))=0, Sheet1!K27="N/A"), "-", Sheet1!K27),"-")</f>
        <v>-</v>
      </c>
      <c r="F27" t="str">
        <f>IF(Sheet1!W27="STRING","ASCII",IF(Sheet1!W27="INTEGER","FLOAT",Sheet1!W27))</f>
        <v>ASCII</v>
      </c>
      <c r="G27" t="str">
        <f>Sheet1!U27</f>
        <v>IN SHUTTLE #1의 CELL ID</v>
      </c>
    </row>
    <row r="28" spans="1:7" x14ac:dyDescent="0.45">
      <c r="A28">
        <f>Sheet1!A28</f>
        <v>10026</v>
      </c>
      <c r="B28" t="str">
        <f>Sheet1!C28</f>
        <v>IN_SHUTTLE_P1_STEP_ID</v>
      </c>
      <c r="C28" t="str">
        <f>IFERROR(IF(OR(LEN(TRIM(Sheet1!G28))=0, Sheet1!G28="N/A"), "-", Sheet1!G28),"-")</f>
        <v>-</v>
      </c>
      <c r="D28">
        <f>IFERROR(IF(OR(LEN(TRIM(Sheet1!I28))=0, Sheet1!I28="N/A"), "-", Sheet1!I28),"-")</f>
        <v>0</v>
      </c>
      <c r="E28">
        <f>IFERROR(IF(OR(LEN(TRIM(Sheet1!K28))=0, Sheet1!K28="N/A"), "-", Sheet1!K28),"-")</f>
        <v>2</v>
      </c>
      <c r="F28" t="str">
        <f>IF(Sheet1!W28="STRING","ASCII",IF(Sheet1!W28="INTEGER","FLOAT",Sheet1!W28))</f>
        <v>FLOAT</v>
      </c>
      <c r="G28" t="str">
        <f>Sheet1!U28</f>
        <v>IN SHUTTLE #1의 STEP ID</v>
      </c>
    </row>
    <row r="29" spans="1:7" x14ac:dyDescent="0.45">
      <c r="A29">
        <f>Sheet1!A29</f>
        <v>10027</v>
      </c>
      <c r="B29" t="str">
        <f>Sheet1!C29</f>
        <v>IN_SHUTTLE_P1_VACUUM_PRESSURE</v>
      </c>
      <c r="C29" t="str">
        <f>IFERROR(IF(OR(LEN(TRIM(Sheet1!G29))=0, Sheet1!G29="N/A"), "-", Sheet1!G29),"-")</f>
        <v>kPa</v>
      </c>
      <c r="D29">
        <f>IFERROR(IF(OR(LEN(TRIM(Sheet1!I29))=0, Sheet1!I29="N/A"), "-", Sheet1!I29),"-")</f>
        <v>-70</v>
      </c>
      <c r="E29">
        <f>IFERROR(IF(OR(LEN(TRIM(Sheet1!K29))=0, Sheet1!K29="N/A"), "-", Sheet1!K29),"-")</f>
        <v>0</v>
      </c>
      <c r="F29" t="str">
        <f>IF(Sheet1!W29="STRING","ASCII",IF(Sheet1!W29="INTEGER","FLOAT",Sheet1!W29))</f>
        <v>FLOAT</v>
      </c>
      <c r="G29" t="str">
        <f>Sheet1!U29</f>
        <v>IN SHUTTLE #1의 모듈 흡착용 Vacuum 압력값</v>
      </c>
    </row>
    <row r="30" spans="1:7" x14ac:dyDescent="0.45">
      <c r="A30">
        <f>Sheet1!A30</f>
        <v>10028</v>
      </c>
      <c r="B30" t="str">
        <f>Sheet1!C30</f>
        <v>IN_SHUTTLE_P2_CELL_ID</v>
      </c>
      <c r="C30" t="str">
        <f>IFERROR(IF(OR(LEN(TRIM(Sheet1!G30))=0, Sheet1!G30="N/A"), "-", Sheet1!G30),"-")</f>
        <v>-</v>
      </c>
      <c r="D30" t="str">
        <f>IFERROR(IF(OR(LEN(TRIM(Sheet1!I30))=0, Sheet1!I30="N/A"), "-", Sheet1!I30),"-")</f>
        <v>-</v>
      </c>
      <c r="E30" t="str">
        <f>IFERROR(IF(OR(LEN(TRIM(Sheet1!K30))=0, Sheet1!K30="N/A"), "-", Sheet1!K30),"-")</f>
        <v>-</v>
      </c>
      <c r="F30" t="str">
        <f>IF(Sheet1!W30="STRING","ASCII",IF(Sheet1!W30="INTEGER","FLOAT",Sheet1!W30))</f>
        <v>ASCII</v>
      </c>
      <c r="G30" t="str">
        <f>Sheet1!U30</f>
        <v>IN SHUTTLE #2의 CELL ID</v>
      </c>
    </row>
    <row r="31" spans="1:7" x14ac:dyDescent="0.45">
      <c r="A31">
        <f>Sheet1!A31</f>
        <v>10029</v>
      </c>
      <c r="B31" t="str">
        <f>Sheet1!C31</f>
        <v>IN_SHUTTLE_P2_STEP_ID</v>
      </c>
      <c r="C31" t="str">
        <f>IFERROR(IF(OR(LEN(TRIM(Sheet1!G31))=0, Sheet1!G31="N/A"), "-", Sheet1!G31),"-")</f>
        <v>-</v>
      </c>
      <c r="D31">
        <f>IFERROR(IF(OR(LEN(TRIM(Sheet1!I31))=0, Sheet1!I31="N/A"), "-", Sheet1!I31),"-")</f>
        <v>0</v>
      </c>
      <c r="E31">
        <f>IFERROR(IF(OR(LEN(TRIM(Sheet1!K31))=0, Sheet1!K31="N/A"), "-", Sheet1!K31),"-")</f>
        <v>2</v>
      </c>
      <c r="F31" t="str">
        <f>IF(Sheet1!W31="STRING","ASCII",IF(Sheet1!W31="INTEGER","FLOAT",Sheet1!W31))</f>
        <v>FLOAT</v>
      </c>
      <c r="G31" t="str">
        <f>Sheet1!U31</f>
        <v>IN SHUTTLE #2의 STEP ID</v>
      </c>
    </row>
    <row r="32" spans="1:7" x14ac:dyDescent="0.45">
      <c r="A32">
        <f>Sheet1!A32</f>
        <v>10030</v>
      </c>
      <c r="B32" t="str">
        <f>Sheet1!C32</f>
        <v>IN_SHUTTLE_P2_VACUUM_PRESSURE</v>
      </c>
      <c r="C32" t="str">
        <f>IFERROR(IF(OR(LEN(TRIM(Sheet1!G32))=0, Sheet1!G32="N/A"), "-", Sheet1!G32),"-")</f>
        <v>kPa</v>
      </c>
      <c r="D32">
        <f>IFERROR(IF(OR(LEN(TRIM(Sheet1!I32))=0, Sheet1!I32="N/A"), "-", Sheet1!I32),"-")</f>
        <v>-70</v>
      </c>
      <c r="E32">
        <f>IFERROR(IF(OR(LEN(TRIM(Sheet1!K32))=0, Sheet1!K32="N/A"), "-", Sheet1!K32),"-")</f>
        <v>0</v>
      </c>
      <c r="F32" t="str">
        <f>IF(Sheet1!W32="STRING","ASCII",IF(Sheet1!W32="INTEGER","FLOAT",Sheet1!W32))</f>
        <v>FLOAT</v>
      </c>
      <c r="G32" t="str">
        <f>Sheet1!U32</f>
        <v>IN SHUTTLE #2의 모듈 흡착용 Vacuum 압력값</v>
      </c>
    </row>
    <row r="33" spans="1:7" x14ac:dyDescent="0.45">
      <c r="A33">
        <f>Sheet1!A33</f>
        <v>10031</v>
      </c>
      <c r="B33" t="str">
        <f>Sheet1!C33</f>
        <v>IN_ROBOT_P1_CELL_ID</v>
      </c>
      <c r="C33" t="str">
        <f>IFERROR(IF(OR(LEN(TRIM(Sheet1!G33))=0, Sheet1!G33="N/A"), "-", Sheet1!G33),"-")</f>
        <v>-</v>
      </c>
      <c r="D33">
        <f>IFERROR(IF(OR(LEN(TRIM(Sheet1!I33))=0, Sheet1!I33="N/A"), "-", Sheet1!I33),"-")</f>
        <v>0</v>
      </c>
      <c r="E33">
        <f>IFERROR(IF(OR(LEN(TRIM(Sheet1!K33))=0, Sheet1!K33="N/A"), "-", Sheet1!K33),"-")</f>
        <v>2</v>
      </c>
      <c r="F33" t="str">
        <f>IF(Sheet1!W33="STRING","ASCII",IF(Sheet1!W33="INTEGER","FLOAT",Sheet1!W33))</f>
        <v>ASCII</v>
      </c>
      <c r="G33" t="str">
        <f>Sheet1!U33</f>
        <v>IN ROBOT #1의 CELL ID</v>
      </c>
    </row>
    <row r="34" spans="1:7" x14ac:dyDescent="0.45">
      <c r="A34">
        <f>Sheet1!A34</f>
        <v>10032</v>
      </c>
      <c r="B34" t="str">
        <f>Sheet1!C34</f>
        <v>IN_ROBOT_P1_STEP_ID</v>
      </c>
      <c r="C34" t="str">
        <f>IFERROR(IF(OR(LEN(TRIM(Sheet1!G34))=0, Sheet1!G34="N/A"), "-", Sheet1!G34),"-")</f>
        <v>-</v>
      </c>
      <c r="D34" t="str">
        <f>IFERROR(IF(OR(LEN(TRIM(Sheet1!I34))=0, Sheet1!I34="N/A"), "-", Sheet1!I34),"-")</f>
        <v>-</v>
      </c>
      <c r="E34" t="str">
        <f>IFERROR(IF(OR(LEN(TRIM(Sheet1!K34))=0, Sheet1!K34="N/A"), "-", Sheet1!K34),"-")</f>
        <v>-</v>
      </c>
      <c r="F34" t="str">
        <f>IF(Sheet1!W34="STRING","ASCII",IF(Sheet1!W34="INTEGER","FLOAT",Sheet1!W34))</f>
        <v>FLOAT</v>
      </c>
      <c r="G34" t="str">
        <f>Sheet1!U34</f>
        <v>IN ROBOT #1의 STEP ID</v>
      </c>
    </row>
    <row r="35" spans="1:7" x14ac:dyDescent="0.45">
      <c r="A35">
        <f>Sheet1!A35</f>
        <v>10033</v>
      </c>
      <c r="B35" t="str">
        <f>Sheet1!C35</f>
        <v>IN_ROBOT_P1_VACUUM_PRESSURE</v>
      </c>
      <c r="C35" t="str">
        <f>IFERROR(IF(OR(LEN(TRIM(Sheet1!G35))=0, Sheet1!G35="N/A"), "-", Sheet1!G35),"-")</f>
        <v>kPa</v>
      </c>
      <c r="D35">
        <f>IFERROR(IF(OR(LEN(TRIM(Sheet1!I35))=0, Sheet1!I35="N/A"), "-", Sheet1!I35),"-")</f>
        <v>-70</v>
      </c>
      <c r="E35">
        <f>IFERROR(IF(OR(LEN(TRIM(Sheet1!K35))=0, Sheet1!K35="N/A"), "-", Sheet1!K35),"-")</f>
        <v>0</v>
      </c>
      <c r="F35" t="str">
        <f>IF(Sheet1!W35="STRING","ASCII",IF(Sheet1!W35="INTEGER","FLOAT",Sheet1!W35))</f>
        <v>FLOAT</v>
      </c>
      <c r="G35" t="str">
        <f>Sheet1!U35</f>
        <v>IN ROBOT #1의 모듈 흡착용 Vacuum 압력값</v>
      </c>
    </row>
    <row r="36" spans="1:7" x14ac:dyDescent="0.45">
      <c r="A36">
        <f>Sheet1!A36</f>
        <v>10034</v>
      </c>
      <c r="B36" t="str">
        <f>Sheet1!C36</f>
        <v>IN_ROBOT_P2_CELL_ID</v>
      </c>
      <c r="C36" t="str">
        <f>IFERROR(IF(OR(LEN(TRIM(Sheet1!G36))=0, Sheet1!G36="N/A"), "-", Sheet1!G36),"-")</f>
        <v>-</v>
      </c>
      <c r="D36">
        <f>IFERROR(IF(OR(LEN(TRIM(Sheet1!I36))=0, Sheet1!I36="N/A"), "-", Sheet1!I36),"-")</f>
        <v>0</v>
      </c>
      <c r="E36">
        <f>IFERROR(IF(OR(LEN(TRIM(Sheet1!K36))=0, Sheet1!K36="N/A"), "-", Sheet1!K36),"-")</f>
        <v>2</v>
      </c>
      <c r="F36" t="str">
        <f>IF(Sheet1!W36="STRING","ASCII",IF(Sheet1!W36="INTEGER","FLOAT",Sheet1!W36))</f>
        <v>ASCII</v>
      </c>
      <c r="G36" t="str">
        <f>Sheet1!U36</f>
        <v>IN ROBOT #2의 CELL ID</v>
      </c>
    </row>
    <row r="37" spans="1:7" x14ac:dyDescent="0.45">
      <c r="A37">
        <f>Sheet1!A37</f>
        <v>10035</v>
      </c>
      <c r="B37" t="str">
        <f>Sheet1!C37</f>
        <v>IN_ROBOT_P2_STEP_ID</v>
      </c>
      <c r="C37" t="str">
        <f>IFERROR(IF(OR(LEN(TRIM(Sheet1!G37))=0, Sheet1!G37="N/A"), "-", Sheet1!G37),"-")</f>
        <v>-</v>
      </c>
      <c r="D37" t="str">
        <f>IFERROR(IF(OR(LEN(TRIM(Sheet1!I37))=0, Sheet1!I37="N/A"), "-", Sheet1!I37),"-")</f>
        <v>-</v>
      </c>
      <c r="E37" t="str">
        <f>IFERROR(IF(OR(LEN(TRIM(Sheet1!K37))=0, Sheet1!K37="N/A"), "-", Sheet1!K37),"-")</f>
        <v>-</v>
      </c>
      <c r="F37" t="str">
        <f>IF(Sheet1!W37="STRING","ASCII",IF(Sheet1!W37="INTEGER","FLOAT",Sheet1!W37))</f>
        <v>FLOAT</v>
      </c>
      <c r="G37" t="str">
        <f>Sheet1!U37</f>
        <v>IN ROBOT #2의 STEP ID</v>
      </c>
    </row>
    <row r="38" spans="1:7" x14ac:dyDescent="0.45">
      <c r="A38">
        <f>Sheet1!A38</f>
        <v>10036</v>
      </c>
      <c r="B38" t="str">
        <f>Sheet1!C38</f>
        <v>IN_ROBOT_P2_VACUUM_PRESSURE</v>
      </c>
      <c r="C38" t="str">
        <f>IFERROR(IF(OR(LEN(TRIM(Sheet1!G38))=0, Sheet1!G38="N/A"), "-", Sheet1!G38),"-")</f>
        <v>kPa</v>
      </c>
      <c r="D38">
        <f>IFERROR(IF(OR(LEN(TRIM(Sheet1!I38))=0, Sheet1!I38="N/A"), "-", Sheet1!I38),"-")</f>
        <v>-70</v>
      </c>
      <c r="E38">
        <f>IFERROR(IF(OR(LEN(TRIM(Sheet1!K38))=0, Sheet1!K38="N/A"), "-", Sheet1!K38),"-")</f>
        <v>0</v>
      </c>
      <c r="F38" t="str">
        <f>IF(Sheet1!W38="STRING","ASCII",IF(Sheet1!W38="INTEGER","FLOAT",Sheet1!W38))</f>
        <v>FLOAT</v>
      </c>
      <c r="G38" t="str">
        <f>Sheet1!U38</f>
        <v>IN ROBOT #2의 모듈 흡착용 Vacuum 압력값</v>
      </c>
    </row>
    <row r="39" spans="1:7" x14ac:dyDescent="0.45">
      <c r="A39">
        <f>Sheet1!A39</f>
        <v>10037</v>
      </c>
      <c r="B39" t="str">
        <f>Sheet1!C39</f>
        <v>INSP_STAGE_P1_CELL_ID</v>
      </c>
      <c r="C39" t="str">
        <f>IFERROR(IF(OR(LEN(TRIM(Sheet1!G39))=0, Sheet1!G39="N/A"), "-", Sheet1!G39),"-")</f>
        <v>-</v>
      </c>
      <c r="D39" t="str">
        <f>IFERROR(IF(OR(LEN(TRIM(Sheet1!I39))=0, Sheet1!I39="N/A"), "-", Sheet1!I39),"-")</f>
        <v>-</v>
      </c>
      <c r="E39" t="str">
        <f>IFERROR(IF(OR(LEN(TRIM(Sheet1!K39))=0, Sheet1!K39="N/A"), "-", Sheet1!K39),"-")</f>
        <v>-</v>
      </c>
      <c r="F39" t="str">
        <f>IF(Sheet1!W39="STRING","ASCII",IF(Sheet1!W39="INTEGER","FLOAT",Sheet1!W39))</f>
        <v>ASCII</v>
      </c>
      <c r="G39" t="str">
        <f>Sheet1!U39</f>
        <v>INSP STAGE #1의 CELL ID</v>
      </c>
    </row>
    <row r="40" spans="1:7" x14ac:dyDescent="0.45">
      <c r="A40">
        <f>Sheet1!A40</f>
        <v>10038</v>
      </c>
      <c r="B40" t="str">
        <f>Sheet1!C40</f>
        <v>INSP_STAGE_P1_STEP_ID</v>
      </c>
      <c r="C40" t="str">
        <f>IFERROR(IF(OR(LEN(TRIM(Sheet1!G40))=0, Sheet1!G40="N/A"), "-", Sheet1!G40),"-")</f>
        <v>-</v>
      </c>
      <c r="D40">
        <f>IFERROR(IF(OR(LEN(TRIM(Sheet1!I40))=0, Sheet1!I40="N/A"), "-", Sheet1!I40),"-")</f>
        <v>0</v>
      </c>
      <c r="E40">
        <f>IFERROR(IF(OR(LEN(TRIM(Sheet1!K40))=0, Sheet1!K40="N/A"), "-", Sheet1!K40),"-")</f>
        <v>2</v>
      </c>
      <c r="F40" t="str">
        <f>IF(Sheet1!W40="STRING","ASCII",IF(Sheet1!W40="INTEGER","FLOAT",Sheet1!W40))</f>
        <v>FLOAT</v>
      </c>
      <c r="G40" t="str">
        <f>Sheet1!U40</f>
        <v>INSP STAGE #1의 STEP ID</v>
      </c>
    </row>
    <row r="41" spans="1:7" x14ac:dyDescent="0.45">
      <c r="A41">
        <f>Sheet1!A41</f>
        <v>10039</v>
      </c>
      <c r="B41" t="str">
        <f>Sheet1!C41</f>
        <v>INSP_STAGE_P1_VACUUM_PRESSURE</v>
      </c>
      <c r="C41" t="str">
        <f>IFERROR(IF(OR(LEN(TRIM(Sheet1!G41))=0, Sheet1!G41="N/A"), "-", Sheet1!G41),"-")</f>
        <v>kPa</v>
      </c>
      <c r="D41">
        <f>IFERROR(IF(OR(LEN(TRIM(Sheet1!I41))=0, Sheet1!I41="N/A"), "-", Sheet1!I41),"-")</f>
        <v>-70</v>
      </c>
      <c r="E41">
        <f>IFERROR(IF(OR(LEN(TRIM(Sheet1!K41))=0, Sheet1!K41="N/A"), "-", Sheet1!K41),"-")</f>
        <v>0</v>
      </c>
      <c r="F41" t="str">
        <f>IF(Sheet1!W41="STRING","ASCII",IF(Sheet1!W41="INTEGER","FLOAT",Sheet1!W41))</f>
        <v>FLOAT</v>
      </c>
      <c r="G41" t="str">
        <f>Sheet1!U41</f>
        <v>INSP STAGE #1의 모듈 흡착용 Vacuum 압력값</v>
      </c>
    </row>
    <row r="42" spans="1:7" x14ac:dyDescent="0.45">
      <c r="A42">
        <f>Sheet1!A42</f>
        <v>10040</v>
      </c>
      <c r="B42" t="str">
        <f>Sheet1!C42</f>
        <v>INSP_STAGE_P2_CELL_ID</v>
      </c>
      <c r="C42" t="str">
        <f>IFERROR(IF(OR(LEN(TRIM(Sheet1!G42))=0, Sheet1!G42="N/A"), "-", Sheet1!G42),"-")</f>
        <v>-</v>
      </c>
      <c r="D42" t="str">
        <f>IFERROR(IF(OR(LEN(TRIM(Sheet1!I42))=0, Sheet1!I42="N/A"), "-", Sheet1!I42),"-")</f>
        <v>-</v>
      </c>
      <c r="E42" t="str">
        <f>IFERROR(IF(OR(LEN(TRIM(Sheet1!K42))=0, Sheet1!K42="N/A"), "-", Sheet1!K42),"-")</f>
        <v>-</v>
      </c>
      <c r="F42" t="str">
        <f>IF(Sheet1!W42="STRING","ASCII",IF(Sheet1!W42="INTEGER","FLOAT",Sheet1!W42))</f>
        <v>ASCII</v>
      </c>
      <c r="G42" t="str">
        <f>Sheet1!U42</f>
        <v>INSP STAGE #2의 CELL ID</v>
      </c>
    </row>
    <row r="43" spans="1:7" x14ac:dyDescent="0.45">
      <c r="A43">
        <f>Sheet1!A43</f>
        <v>10041</v>
      </c>
      <c r="B43" t="str">
        <f>Sheet1!C43</f>
        <v>INSP_STAGE_P2_STEP_ID</v>
      </c>
      <c r="C43" t="str">
        <f>IFERROR(IF(OR(LEN(TRIM(Sheet1!G43))=0, Sheet1!G43="N/A"), "-", Sheet1!G43),"-")</f>
        <v>-</v>
      </c>
      <c r="D43">
        <f>IFERROR(IF(OR(LEN(TRIM(Sheet1!I43))=0, Sheet1!I43="N/A"), "-", Sheet1!I43),"-")</f>
        <v>0</v>
      </c>
      <c r="E43">
        <f>IFERROR(IF(OR(LEN(TRIM(Sheet1!K43))=0, Sheet1!K43="N/A"), "-", Sheet1!K43),"-")</f>
        <v>2</v>
      </c>
      <c r="F43" t="str">
        <f>IF(Sheet1!W43="STRING","ASCII",IF(Sheet1!W43="INTEGER","FLOAT",Sheet1!W43))</f>
        <v>FLOAT</v>
      </c>
      <c r="G43" t="str">
        <f>Sheet1!U43</f>
        <v>INSP STAGE #2의 STEP ID</v>
      </c>
    </row>
    <row r="44" spans="1:7" x14ac:dyDescent="0.45">
      <c r="A44">
        <f>Sheet1!A44</f>
        <v>10042</v>
      </c>
      <c r="B44" t="str">
        <f>Sheet1!C44</f>
        <v>INSP_STAGE_P2_VACUUM_PRESSURE</v>
      </c>
      <c r="C44" t="str">
        <f>IFERROR(IF(OR(LEN(TRIM(Sheet1!G44))=0, Sheet1!G44="N/A"), "-", Sheet1!G44),"-")</f>
        <v>kPa</v>
      </c>
      <c r="D44">
        <f>IFERROR(IF(OR(LEN(TRIM(Sheet1!I44))=0, Sheet1!I44="N/A"), "-", Sheet1!I44),"-")</f>
        <v>-70</v>
      </c>
      <c r="E44">
        <f>IFERROR(IF(OR(LEN(TRIM(Sheet1!K44))=0, Sheet1!K44="N/A"), "-", Sheet1!K44),"-")</f>
        <v>0</v>
      </c>
      <c r="F44" t="str">
        <f>IF(Sheet1!W44="STRING","ASCII",IF(Sheet1!W44="INTEGER","FLOAT",Sheet1!W44))</f>
        <v>FLOAT</v>
      </c>
      <c r="G44" t="str">
        <f>Sheet1!U44</f>
        <v>INSP STAGE #2의 모듈 흡착용 Vacuum 압력값</v>
      </c>
    </row>
    <row r="45" spans="1:7" x14ac:dyDescent="0.45">
      <c r="A45">
        <f>Sheet1!A45</f>
        <v>10043</v>
      </c>
      <c r="B45" t="str">
        <f>Sheet1!C45</f>
        <v>OUT_ROBOT_P1_CELL_ID</v>
      </c>
      <c r="C45" t="str">
        <f>IFERROR(IF(OR(LEN(TRIM(Sheet1!G45))=0, Sheet1!G45="N/A"), "-", Sheet1!G45),"-")</f>
        <v>-</v>
      </c>
      <c r="D45" t="str">
        <f>IFERROR(IF(OR(LEN(TRIM(Sheet1!I45))=0, Sheet1!I45="N/A"), "-", Sheet1!I45),"-")</f>
        <v>-</v>
      </c>
      <c r="E45" t="str">
        <f>IFERROR(IF(OR(LEN(TRIM(Sheet1!K45))=0, Sheet1!K45="N/A"), "-", Sheet1!K45),"-")</f>
        <v>-</v>
      </c>
      <c r="F45" t="str">
        <f>IF(Sheet1!W45="STRING","ASCII",IF(Sheet1!W45="INTEGER","FLOAT",Sheet1!W45))</f>
        <v>ASCII</v>
      </c>
      <c r="G45" t="str">
        <f>Sheet1!U45</f>
        <v>OUT ROBOT #1의 CELL ID</v>
      </c>
    </row>
    <row r="46" spans="1:7" x14ac:dyDescent="0.45">
      <c r="A46">
        <f>Sheet1!A46</f>
        <v>10044</v>
      </c>
      <c r="B46" t="str">
        <f>Sheet1!C46</f>
        <v>OUT_ROBOT_P1_STEP_ID</v>
      </c>
      <c r="C46" t="str">
        <f>IFERROR(IF(OR(LEN(TRIM(Sheet1!G46))=0, Sheet1!G46="N/A"), "-", Sheet1!G46),"-")</f>
        <v>-</v>
      </c>
      <c r="D46">
        <f>IFERROR(IF(OR(LEN(TRIM(Sheet1!I46))=0, Sheet1!I46="N/A"), "-", Sheet1!I46),"-")</f>
        <v>0</v>
      </c>
      <c r="E46">
        <f>IFERROR(IF(OR(LEN(TRIM(Sheet1!K46))=0, Sheet1!K46="N/A"), "-", Sheet1!K46),"-")</f>
        <v>2</v>
      </c>
      <c r="F46" t="str">
        <f>IF(Sheet1!W46="STRING","ASCII",IF(Sheet1!W46="INTEGER","FLOAT",Sheet1!W46))</f>
        <v>FLOAT</v>
      </c>
      <c r="G46" t="str">
        <f>Sheet1!U46</f>
        <v>OUT ROBOT #1의 STEP ID</v>
      </c>
    </row>
    <row r="47" spans="1:7" x14ac:dyDescent="0.45">
      <c r="A47">
        <f>Sheet1!A47</f>
        <v>10045</v>
      </c>
      <c r="B47" t="str">
        <f>Sheet1!C47</f>
        <v>OUT_ROBOT_P1_VACUUM_PRESSURE</v>
      </c>
      <c r="C47" t="str">
        <f>IFERROR(IF(OR(LEN(TRIM(Sheet1!G47))=0, Sheet1!G47="N/A"), "-", Sheet1!G47),"-")</f>
        <v>kPa</v>
      </c>
      <c r="D47">
        <f>IFERROR(IF(OR(LEN(TRIM(Sheet1!I47))=0, Sheet1!I47="N/A"), "-", Sheet1!I47),"-")</f>
        <v>-70</v>
      </c>
      <c r="E47">
        <f>IFERROR(IF(OR(LEN(TRIM(Sheet1!K47))=0, Sheet1!K47="N/A"), "-", Sheet1!K47),"-")</f>
        <v>0</v>
      </c>
      <c r="F47" t="str">
        <f>IF(Sheet1!W47="STRING","ASCII",IF(Sheet1!W47="INTEGER","FLOAT",Sheet1!W47))</f>
        <v>FLOAT</v>
      </c>
      <c r="G47" t="str">
        <f>Sheet1!U47</f>
        <v>OUT ROBOT #1의 모듈 흡착용 Vacuum 압력값</v>
      </c>
    </row>
    <row r="48" spans="1:7" x14ac:dyDescent="0.45">
      <c r="A48">
        <f>Sheet1!A48</f>
        <v>10046</v>
      </c>
      <c r="B48" t="str">
        <f>Sheet1!C48</f>
        <v>OUT_ROBOT_P2_CELL_ID</v>
      </c>
      <c r="C48" t="str">
        <f>IFERROR(IF(OR(LEN(TRIM(Sheet1!G48))=0, Sheet1!G48="N/A"), "-", Sheet1!G48),"-")</f>
        <v>-</v>
      </c>
      <c r="D48" t="str">
        <f>IFERROR(IF(OR(LEN(TRIM(Sheet1!I48))=0, Sheet1!I48="N/A"), "-", Sheet1!I48),"-")</f>
        <v>-</v>
      </c>
      <c r="E48" t="str">
        <f>IFERROR(IF(OR(LEN(TRIM(Sheet1!K48))=0, Sheet1!K48="N/A"), "-", Sheet1!K48),"-")</f>
        <v>-</v>
      </c>
      <c r="F48" t="str">
        <f>IF(Sheet1!W48="STRING","ASCII",IF(Sheet1!W48="INTEGER","FLOAT",Sheet1!W48))</f>
        <v>ASCII</v>
      </c>
      <c r="G48" t="str">
        <f>Sheet1!U48</f>
        <v>OUT ROBOT #2의 CELL ID</v>
      </c>
    </row>
    <row r="49" spans="1:7" x14ac:dyDescent="0.45">
      <c r="A49">
        <f>Sheet1!A49</f>
        <v>10047</v>
      </c>
      <c r="B49" t="str">
        <f>Sheet1!C49</f>
        <v>OUT_ROBOT_P2_STEP_ID</v>
      </c>
      <c r="C49" t="str">
        <f>IFERROR(IF(OR(LEN(TRIM(Sheet1!G49))=0, Sheet1!G49="N/A"), "-", Sheet1!G49),"-")</f>
        <v>-</v>
      </c>
      <c r="D49">
        <f>IFERROR(IF(OR(LEN(TRIM(Sheet1!I49))=0, Sheet1!I49="N/A"), "-", Sheet1!I49),"-")</f>
        <v>0</v>
      </c>
      <c r="E49">
        <f>IFERROR(IF(OR(LEN(TRIM(Sheet1!K49))=0, Sheet1!K49="N/A"), "-", Sheet1!K49),"-")</f>
        <v>2</v>
      </c>
      <c r="F49" t="str">
        <f>IF(Sheet1!W49="STRING","ASCII",IF(Sheet1!W49="INTEGER","FLOAT",Sheet1!W49))</f>
        <v>FLOAT</v>
      </c>
      <c r="G49" t="str">
        <f>Sheet1!U49</f>
        <v>OUT ROBOT #2의 STEP ID</v>
      </c>
    </row>
    <row r="50" spans="1:7" x14ac:dyDescent="0.45">
      <c r="A50">
        <f>Sheet1!A50</f>
        <v>10048</v>
      </c>
      <c r="B50" t="str">
        <f>Sheet1!C50</f>
        <v>OUT_ROBOT_P2_VACUUM_PRESSURE</v>
      </c>
      <c r="C50" t="str">
        <f>IFERROR(IF(OR(LEN(TRIM(Sheet1!G50))=0, Sheet1!G50="N/A"), "-", Sheet1!G50),"-")</f>
        <v>kPa</v>
      </c>
      <c r="D50">
        <f>IFERROR(IF(OR(LEN(TRIM(Sheet1!I50))=0, Sheet1!I50="N/A"), "-", Sheet1!I50),"-")</f>
        <v>-70</v>
      </c>
      <c r="E50">
        <f>IFERROR(IF(OR(LEN(TRIM(Sheet1!K50))=0, Sheet1!K50="N/A"), "-", Sheet1!K50),"-")</f>
        <v>0</v>
      </c>
      <c r="F50" t="str">
        <f>IF(Sheet1!W50="STRING","ASCII",IF(Sheet1!W50="INTEGER","FLOAT",Sheet1!W50))</f>
        <v>FLOAT</v>
      </c>
      <c r="G50" t="str">
        <f>Sheet1!U50</f>
        <v>OUT ROBOT #2의 모듈 흡착용 Vacuum 압력값</v>
      </c>
    </row>
    <row r="51" spans="1:7" x14ac:dyDescent="0.45">
      <c r="A51">
        <f>Sheet1!A51</f>
        <v>10049</v>
      </c>
      <c r="B51" t="str">
        <f>Sheet1!C51</f>
        <v>OUT_FLIP_P1_1_CELL_ID</v>
      </c>
      <c r="C51" t="str">
        <f>IFERROR(IF(OR(LEN(TRIM(Sheet1!G51))=0, Sheet1!G51="N/A"), "-", Sheet1!G51),"-")</f>
        <v>-</v>
      </c>
      <c r="D51" t="str">
        <f>IFERROR(IF(OR(LEN(TRIM(Sheet1!I51))=0, Sheet1!I51="N/A"), "-", Sheet1!I51),"-")</f>
        <v>-</v>
      </c>
      <c r="E51" t="str">
        <f>IFERROR(IF(OR(LEN(TRIM(Sheet1!K51))=0, Sheet1!K51="N/A"), "-", Sheet1!K51),"-")</f>
        <v>-</v>
      </c>
      <c r="F51" t="str">
        <f>IF(Sheet1!W51="STRING","ASCII",IF(Sheet1!W51="INTEGER","FLOAT",Sheet1!W51))</f>
        <v>ASCII</v>
      </c>
      <c r="G51" t="str">
        <f>Sheet1!U51</f>
        <v>OUT FLIP #1_1의 CELL ID</v>
      </c>
    </row>
    <row r="52" spans="1:7" x14ac:dyDescent="0.45">
      <c r="A52">
        <f>Sheet1!A52</f>
        <v>10050</v>
      </c>
      <c r="B52" t="str">
        <f>Sheet1!C52</f>
        <v>OUT_FLIP_P1_1_STEP_ID</v>
      </c>
      <c r="C52" t="str">
        <f>IFERROR(IF(OR(LEN(TRIM(Sheet1!G52))=0, Sheet1!G52="N/A"), "-", Sheet1!G52),"-")</f>
        <v>-</v>
      </c>
      <c r="D52">
        <f>IFERROR(IF(OR(LEN(TRIM(Sheet1!I52))=0, Sheet1!I52="N/A"), "-", Sheet1!I52),"-")</f>
        <v>0</v>
      </c>
      <c r="E52">
        <f>IFERROR(IF(OR(LEN(TRIM(Sheet1!K52))=0, Sheet1!K52="N/A"), "-", Sheet1!K52),"-")</f>
        <v>2</v>
      </c>
      <c r="F52" t="str">
        <f>IF(Sheet1!W52="STRING","ASCII",IF(Sheet1!W52="INTEGER","FLOAT",Sheet1!W52))</f>
        <v>FLOAT</v>
      </c>
      <c r="G52" t="str">
        <f>Sheet1!U52</f>
        <v>OUT FLIP #1_1의 STEP ID</v>
      </c>
    </row>
    <row r="53" spans="1:7" x14ac:dyDescent="0.45">
      <c r="A53">
        <f>Sheet1!A53</f>
        <v>10051</v>
      </c>
      <c r="B53" t="str">
        <f>Sheet1!C53</f>
        <v>OUT_FLIP_P1_1_VACUUM_PRESSURE</v>
      </c>
      <c r="C53" t="str">
        <f>IFERROR(IF(OR(LEN(TRIM(Sheet1!G53))=0, Sheet1!G53="N/A"), "-", Sheet1!G53),"-")</f>
        <v>kPa</v>
      </c>
      <c r="D53">
        <f>IFERROR(IF(OR(LEN(TRIM(Sheet1!I53))=0, Sheet1!I53="N/A"), "-", Sheet1!I53),"-")</f>
        <v>-70</v>
      </c>
      <c r="E53">
        <f>IFERROR(IF(OR(LEN(TRIM(Sheet1!K53))=0, Sheet1!K53="N/A"), "-", Sheet1!K53),"-")</f>
        <v>0</v>
      </c>
      <c r="F53" t="str">
        <f>IF(Sheet1!W53="STRING","ASCII",IF(Sheet1!W53="INTEGER","FLOAT",Sheet1!W53))</f>
        <v>FLOAT</v>
      </c>
      <c r="G53" t="str">
        <f>Sheet1!U53</f>
        <v>OUT FLIP #1_1의 모듈 흡착용 Vacuum 압력값</v>
      </c>
    </row>
    <row r="54" spans="1:7" x14ac:dyDescent="0.45">
      <c r="A54">
        <f>Sheet1!A54</f>
        <v>10052</v>
      </c>
      <c r="B54" t="str">
        <f>Sheet1!C54</f>
        <v>OUT_FLIP_P1_2_CELL_ID</v>
      </c>
      <c r="C54" t="str">
        <f>IFERROR(IF(OR(LEN(TRIM(Sheet1!G54))=0, Sheet1!G54="N/A"), "-", Sheet1!G54),"-")</f>
        <v>-</v>
      </c>
      <c r="D54" t="str">
        <f>IFERROR(IF(OR(LEN(TRIM(Sheet1!I54))=0, Sheet1!I54="N/A"), "-", Sheet1!I54),"-")</f>
        <v>-</v>
      </c>
      <c r="E54" t="str">
        <f>IFERROR(IF(OR(LEN(TRIM(Sheet1!K54))=0, Sheet1!K54="N/A"), "-", Sheet1!K54),"-")</f>
        <v>-</v>
      </c>
      <c r="F54" t="str">
        <f>IF(Sheet1!W54="STRING","ASCII",IF(Sheet1!W54="INTEGER","FLOAT",Sheet1!W54))</f>
        <v>ASCII</v>
      </c>
      <c r="G54" t="str">
        <f>Sheet1!U54</f>
        <v>OUT FLIP #1_2의 CELL ID</v>
      </c>
    </row>
    <row r="55" spans="1:7" x14ac:dyDescent="0.45">
      <c r="A55">
        <f>Sheet1!A55</f>
        <v>10053</v>
      </c>
      <c r="B55" t="str">
        <f>Sheet1!C55</f>
        <v>OUT_FLIP_P1_2_STEP_ID</v>
      </c>
      <c r="C55" t="str">
        <f>IFERROR(IF(OR(LEN(TRIM(Sheet1!G55))=0, Sheet1!G55="N/A"), "-", Sheet1!G55),"-")</f>
        <v>-</v>
      </c>
      <c r="D55">
        <f>IFERROR(IF(OR(LEN(TRIM(Sheet1!I55))=0, Sheet1!I55="N/A"), "-", Sheet1!I55),"-")</f>
        <v>0</v>
      </c>
      <c r="E55">
        <f>IFERROR(IF(OR(LEN(TRIM(Sheet1!K55))=0, Sheet1!K55="N/A"), "-", Sheet1!K55),"-")</f>
        <v>2</v>
      </c>
      <c r="F55" t="str">
        <f>IF(Sheet1!W55="STRING","ASCII",IF(Sheet1!W55="INTEGER","FLOAT",Sheet1!W55))</f>
        <v>FLOAT</v>
      </c>
      <c r="G55" t="str">
        <f>Sheet1!U55</f>
        <v>OUT FLIP #1_2의 STEP ID</v>
      </c>
    </row>
    <row r="56" spans="1:7" x14ac:dyDescent="0.45">
      <c r="A56">
        <f>Sheet1!A56</f>
        <v>10054</v>
      </c>
      <c r="B56" t="str">
        <f>Sheet1!C56</f>
        <v>OUT_FLIP_P1_2_VACUUM_PRESSURE</v>
      </c>
      <c r="C56" t="str">
        <f>IFERROR(IF(OR(LEN(TRIM(Sheet1!G56))=0, Sheet1!G56="N/A"), "-", Sheet1!G56),"-")</f>
        <v>kPa</v>
      </c>
      <c r="D56">
        <f>IFERROR(IF(OR(LEN(TRIM(Sheet1!I56))=0, Sheet1!I56="N/A"), "-", Sheet1!I56),"-")</f>
        <v>-70</v>
      </c>
      <c r="E56">
        <f>IFERROR(IF(OR(LEN(TRIM(Sheet1!K56))=0, Sheet1!K56="N/A"), "-", Sheet1!K56),"-")</f>
        <v>0</v>
      </c>
      <c r="F56" t="str">
        <f>IF(Sheet1!W56="STRING","ASCII",IF(Sheet1!W56="INTEGER","FLOAT",Sheet1!W56))</f>
        <v>FLOAT</v>
      </c>
      <c r="G56" t="str">
        <f>Sheet1!U56</f>
        <v>OUT FLIP #1_2의 모듈 흡착용 Vacuum 압력값</v>
      </c>
    </row>
    <row r="57" spans="1:7" x14ac:dyDescent="0.45">
      <c r="A57">
        <f>Sheet1!A57</f>
        <v>10055</v>
      </c>
      <c r="B57" t="str">
        <f>Sheet1!C57</f>
        <v>OUT_FLIP_P2_1_CELL_ID</v>
      </c>
      <c r="C57" t="str">
        <f>IFERROR(IF(OR(LEN(TRIM(Sheet1!G57))=0, Sheet1!G57="N/A"), "-", Sheet1!G57),"-")</f>
        <v>-</v>
      </c>
      <c r="D57" t="str">
        <f>IFERROR(IF(OR(LEN(TRIM(Sheet1!I57))=0, Sheet1!I57="N/A"), "-", Sheet1!I57),"-")</f>
        <v>-</v>
      </c>
      <c r="E57" t="str">
        <f>IFERROR(IF(OR(LEN(TRIM(Sheet1!K57))=0, Sheet1!K57="N/A"), "-", Sheet1!K57),"-")</f>
        <v>-</v>
      </c>
      <c r="F57" t="str">
        <f>IF(Sheet1!W57="STRING","ASCII",IF(Sheet1!W57="INTEGER","FLOAT",Sheet1!W57))</f>
        <v>ASCII</v>
      </c>
      <c r="G57" t="str">
        <f>Sheet1!U57</f>
        <v>OUT FLIP #2_1의 CELL ID</v>
      </c>
    </row>
    <row r="58" spans="1:7" x14ac:dyDescent="0.45">
      <c r="A58">
        <f>Sheet1!A58</f>
        <v>10056</v>
      </c>
      <c r="B58" t="str">
        <f>Sheet1!C58</f>
        <v>OUT_FLIP_P2_1_STEP_ID</v>
      </c>
      <c r="C58" t="str">
        <f>IFERROR(IF(OR(LEN(TRIM(Sheet1!G58))=0, Sheet1!G58="N/A"), "-", Sheet1!G58),"-")</f>
        <v>-</v>
      </c>
      <c r="D58">
        <f>IFERROR(IF(OR(LEN(TRIM(Sheet1!I58))=0, Sheet1!I58="N/A"), "-", Sheet1!I58),"-")</f>
        <v>0</v>
      </c>
      <c r="E58">
        <f>IFERROR(IF(OR(LEN(TRIM(Sheet1!K58))=0, Sheet1!K58="N/A"), "-", Sheet1!K58),"-")</f>
        <v>2</v>
      </c>
      <c r="F58" t="str">
        <f>IF(Sheet1!W58="STRING","ASCII",IF(Sheet1!W58="INTEGER","FLOAT",Sheet1!W58))</f>
        <v>FLOAT</v>
      </c>
      <c r="G58" t="str">
        <f>Sheet1!U58</f>
        <v>OUT FLIP #2_1의 STEP ID</v>
      </c>
    </row>
    <row r="59" spans="1:7" x14ac:dyDescent="0.45">
      <c r="A59">
        <f>Sheet1!A59</f>
        <v>10057</v>
      </c>
      <c r="B59" t="str">
        <f>Sheet1!C59</f>
        <v>OUT_FLIP_P2_1_VACUUM_PRESSURE</v>
      </c>
      <c r="C59" t="str">
        <f>IFERROR(IF(OR(LEN(TRIM(Sheet1!G59))=0, Sheet1!G59="N/A"), "-", Sheet1!G59),"-")</f>
        <v>kPa</v>
      </c>
      <c r="D59">
        <f>IFERROR(IF(OR(LEN(TRIM(Sheet1!I59))=0, Sheet1!I59="N/A"), "-", Sheet1!I59),"-")</f>
        <v>-70</v>
      </c>
      <c r="E59">
        <f>IFERROR(IF(OR(LEN(TRIM(Sheet1!K59))=0, Sheet1!K59="N/A"), "-", Sheet1!K59),"-")</f>
        <v>0</v>
      </c>
      <c r="F59" t="str">
        <f>IF(Sheet1!W59="STRING","ASCII",IF(Sheet1!W59="INTEGER","FLOAT",Sheet1!W59))</f>
        <v>FLOAT</v>
      </c>
      <c r="G59" t="str">
        <f>Sheet1!U59</f>
        <v>OUT FLIP #2_1의 모듈 흡착용 Vacuum 압력값</v>
      </c>
    </row>
    <row r="60" spans="1:7" x14ac:dyDescent="0.45">
      <c r="A60">
        <f>Sheet1!A60</f>
        <v>10058</v>
      </c>
      <c r="B60" t="str">
        <f>Sheet1!C60</f>
        <v>OUT_FLIP_P2_2_CELL_ID</v>
      </c>
      <c r="C60" t="str">
        <f>IFERROR(IF(OR(LEN(TRIM(Sheet1!G60))=0, Sheet1!G60="N/A"), "-", Sheet1!G60),"-")</f>
        <v>-</v>
      </c>
      <c r="D60" t="str">
        <f>IFERROR(IF(OR(LEN(TRIM(Sheet1!I60))=0, Sheet1!I60="N/A"), "-", Sheet1!I60),"-")</f>
        <v>-</v>
      </c>
      <c r="E60" t="str">
        <f>IFERROR(IF(OR(LEN(TRIM(Sheet1!K60))=0, Sheet1!K60="N/A"), "-", Sheet1!K60),"-")</f>
        <v>-</v>
      </c>
      <c r="F60" t="str">
        <f>IF(Sheet1!W60="STRING","ASCII",IF(Sheet1!W60="INTEGER","FLOAT",Sheet1!W60))</f>
        <v>ASCII</v>
      </c>
      <c r="G60" t="str">
        <f>Sheet1!U60</f>
        <v>OUT FLIP #2_2의 CELL ID</v>
      </c>
    </row>
    <row r="61" spans="1:7" x14ac:dyDescent="0.45">
      <c r="A61">
        <f>Sheet1!A61</f>
        <v>10059</v>
      </c>
      <c r="B61" t="str">
        <f>Sheet1!C61</f>
        <v>OUT_FLIP_P2_2_STEP_ID</v>
      </c>
      <c r="C61" t="str">
        <f>IFERROR(IF(OR(LEN(TRIM(Sheet1!G61))=0, Sheet1!G61="N/A"), "-", Sheet1!G61),"-")</f>
        <v>-</v>
      </c>
      <c r="D61">
        <f>IFERROR(IF(OR(LEN(TRIM(Sheet1!I61))=0, Sheet1!I61="N/A"), "-", Sheet1!I61),"-")</f>
        <v>0</v>
      </c>
      <c r="E61">
        <f>IFERROR(IF(OR(LEN(TRIM(Sheet1!K61))=0, Sheet1!K61="N/A"), "-", Sheet1!K61),"-")</f>
        <v>2</v>
      </c>
      <c r="F61" t="str">
        <f>IF(Sheet1!W61="STRING","ASCII",IF(Sheet1!W61="INTEGER","FLOAT",Sheet1!W61))</f>
        <v>FLOAT</v>
      </c>
      <c r="G61" t="str">
        <f>Sheet1!U61</f>
        <v>OUT FLIP #2_2의 STEP ID</v>
      </c>
    </row>
    <row r="62" spans="1:7" x14ac:dyDescent="0.45">
      <c r="A62">
        <f>Sheet1!A62</f>
        <v>10060</v>
      </c>
      <c r="B62" t="str">
        <f>Sheet1!C62</f>
        <v>OUT_FLIP_P2_2_VACUUM_PRESSURE</v>
      </c>
      <c r="C62" t="str">
        <f>IFERROR(IF(OR(LEN(TRIM(Sheet1!G62))=0, Sheet1!G62="N/A"), "-", Sheet1!G62),"-")</f>
        <v>kPa</v>
      </c>
      <c r="D62">
        <f>IFERROR(IF(OR(LEN(TRIM(Sheet1!I62))=0, Sheet1!I62="N/A"), "-", Sheet1!I62),"-")</f>
        <v>-70</v>
      </c>
      <c r="E62">
        <f>IFERROR(IF(OR(LEN(TRIM(Sheet1!K62))=0, Sheet1!K62="N/A"), "-", Sheet1!K62),"-")</f>
        <v>0</v>
      </c>
      <c r="F62" t="str">
        <f>IF(Sheet1!W62="STRING","ASCII",IF(Sheet1!W62="INTEGER","FLOAT",Sheet1!W62))</f>
        <v>FLOAT</v>
      </c>
      <c r="G62" t="str">
        <f>Sheet1!U62</f>
        <v>OUT FLIP #2_2의 모듈 흡착용 Vacuum 압력값</v>
      </c>
    </row>
    <row r="63" spans="1:7" x14ac:dyDescent="0.45">
      <c r="A63">
        <f>Sheet1!A63</f>
        <v>10061</v>
      </c>
      <c r="B63" t="str">
        <f>Sheet1!C63</f>
        <v>OUT_FLIP_CELL_OUT_DELAY_TIME</v>
      </c>
      <c r="C63" t="str">
        <f>IFERROR(IF(OR(LEN(TRIM(Sheet1!G63))=0, Sheet1!G63="N/A"), "-", Sheet1!G63),"-")</f>
        <v>sec</v>
      </c>
      <c r="D63" t="str">
        <f>IFERROR(IF(OR(LEN(TRIM(Sheet1!I63))=0, Sheet1!I63="N/A"), "-", Sheet1!I63),"-")</f>
        <v>-</v>
      </c>
      <c r="E63" t="str">
        <f>IFERROR(IF(OR(LEN(TRIM(Sheet1!K63))=0, Sheet1!K63="N/A"), "-", Sheet1!K63),"-")</f>
        <v>-</v>
      </c>
      <c r="F63" t="str">
        <f>IF(Sheet1!W63="STRING","ASCII",IF(Sheet1!W63="INTEGER","FLOAT",Sheet1!W63))</f>
        <v>FLOAT</v>
      </c>
      <c r="G63" t="str">
        <f>Sheet1!U63</f>
        <v>OUT FLIP 자재 배출 지연시간</v>
      </c>
    </row>
    <row r="64" spans="1:7" x14ac:dyDescent="0.45">
      <c r="A64">
        <f>Sheet1!A64</f>
        <v>60000</v>
      </c>
      <c r="B64" t="str">
        <f>Sheet1!C64</f>
        <v>SINGLE_PHASE_POWER_1</v>
      </c>
      <c r="C64" t="str">
        <f>IFERROR(IF(OR(LEN(TRIM(Sheet1!G64))=0, Sheet1!G64="N/A"), "-", Sheet1!G64),"-")</f>
        <v>KWh</v>
      </c>
      <c r="D64">
        <f>IFERROR(IF(OR(LEN(TRIM(Sheet1!I64))=0, Sheet1!I64="N/A"), "-", Sheet1!I64),"-")</f>
        <v>0</v>
      </c>
      <c r="E64" t="str">
        <f>IFERROR(IF(OR(LEN(TRIM(Sheet1!K64))=0, Sheet1!K64="N/A"), "-", Sheet1!K64),"-")</f>
        <v>-</v>
      </c>
      <c r="F64" t="str">
        <f>IF(Sheet1!W64="STRING","ASCII",IF(Sheet1!W64="INTEGER","FLOAT",Sheet1!W64))</f>
        <v>FLOAT</v>
      </c>
      <c r="G64" t="str">
        <f>Sheet1!U64</f>
        <v>GPS 전원 전력량</v>
      </c>
    </row>
    <row r="65" spans="1:7" x14ac:dyDescent="0.45">
      <c r="A65">
        <f>Sheet1!A65</f>
        <v>60001</v>
      </c>
      <c r="B65" t="str">
        <f>Sheet1!C65</f>
        <v>INSTANTANEOUS_POWER_1</v>
      </c>
      <c r="C65" t="str">
        <f>IFERROR(IF(OR(LEN(TRIM(Sheet1!G65))=0, Sheet1!G65="N/A"), "-", Sheet1!G65),"-")</f>
        <v>KW</v>
      </c>
      <c r="D65">
        <f>IFERROR(IF(OR(LEN(TRIM(Sheet1!I65))=0, Sheet1!I65="N/A"), "-", Sheet1!I65),"-")</f>
        <v>0</v>
      </c>
      <c r="E65">
        <f>IFERROR(IF(OR(LEN(TRIM(Sheet1!K65))=0, Sheet1!K65="N/A"), "-", Sheet1!K65),"-")</f>
        <v>10</v>
      </c>
      <c r="F65" t="str">
        <f>IF(Sheet1!W65="STRING","ASCII",IF(Sheet1!W65="INTEGER","FLOAT",Sheet1!W65))</f>
        <v>FLOAT</v>
      </c>
      <c r="G65" t="str">
        <f>Sheet1!U65</f>
        <v>GPS 전원 현재 소모전력</v>
      </c>
    </row>
    <row r="66" spans="1:7" x14ac:dyDescent="0.45">
      <c r="A66">
        <f>Sheet1!A66</f>
        <v>60002</v>
      </c>
      <c r="B66" t="str">
        <f>Sheet1!C66</f>
        <v>R_PHASE_VOLTAGE_1</v>
      </c>
      <c r="C66" t="str">
        <f>IFERROR(IF(OR(LEN(TRIM(Sheet1!G66))=0, Sheet1!G66="N/A"), "-", Sheet1!G66),"-")</f>
        <v>V</v>
      </c>
      <c r="D66">
        <f>IFERROR(IF(OR(LEN(TRIM(Sheet1!I66))=0, Sheet1!I66="N/A"), "-", Sheet1!I66),"-")</f>
        <v>180</v>
      </c>
      <c r="E66">
        <f>IFERROR(IF(OR(LEN(TRIM(Sheet1!K66))=0, Sheet1!K66="N/A"), "-", Sheet1!K66),"-")</f>
        <v>240</v>
      </c>
      <c r="F66" t="str">
        <f>IF(Sheet1!W66="STRING","ASCII",IF(Sheet1!W66="INTEGER","FLOAT",Sheet1!W66))</f>
        <v>FLOAT</v>
      </c>
      <c r="G66" t="str">
        <f>Sheet1!U66</f>
        <v>GPS 전원 R상 전압값</v>
      </c>
    </row>
    <row r="67" spans="1:7" x14ac:dyDescent="0.45">
      <c r="A67">
        <f>Sheet1!A67</f>
        <v>60003</v>
      </c>
      <c r="B67" t="str">
        <f>Sheet1!C67</f>
        <v>R_PHASE_CURRENT_1</v>
      </c>
      <c r="C67" t="str">
        <f>IFERROR(IF(OR(LEN(TRIM(Sheet1!G67))=0, Sheet1!G67="N/A"), "-", Sheet1!G67),"-")</f>
        <v>A</v>
      </c>
      <c r="D67">
        <f>IFERROR(IF(OR(LEN(TRIM(Sheet1!I67))=0, Sheet1!I67="N/A"), "-", Sheet1!I67),"-")</f>
        <v>0</v>
      </c>
      <c r="E67">
        <f>IFERROR(IF(OR(LEN(TRIM(Sheet1!K67))=0, Sheet1!K67="N/A"), "-", Sheet1!K67),"-")</f>
        <v>10</v>
      </c>
      <c r="F67" t="str">
        <f>IF(Sheet1!W67="STRING","ASCII",IF(Sheet1!W67="INTEGER","FLOAT",Sheet1!W67))</f>
        <v>FLOAT</v>
      </c>
      <c r="G67" t="str">
        <f>Sheet1!U67</f>
        <v>GPS 전원 R상 전류값</v>
      </c>
    </row>
    <row r="68" spans="1:7" x14ac:dyDescent="0.45">
      <c r="A68">
        <f>Sheet1!A68</f>
        <v>60004</v>
      </c>
      <c r="B68" t="str">
        <f>Sheet1!C68</f>
        <v>R_PHASE_VOLTAGE_VTHD_1</v>
      </c>
      <c r="C68" t="str">
        <f>IFERROR(IF(OR(LEN(TRIM(Sheet1!G68))=0, Sheet1!G68="N/A"), "-", Sheet1!G68),"-")</f>
        <v>%</v>
      </c>
      <c r="D68" t="str">
        <f>IFERROR(IF(OR(LEN(TRIM(Sheet1!I68))=0, Sheet1!I68="N/A"), "-", Sheet1!I68),"-")</f>
        <v>-</v>
      </c>
      <c r="E68" t="str">
        <f>IFERROR(IF(OR(LEN(TRIM(Sheet1!K68))=0, Sheet1!K68="N/A"), "-", Sheet1!K68),"-")</f>
        <v>-</v>
      </c>
      <c r="F68" t="str">
        <f>IF(Sheet1!W68="STRING","ASCII",IF(Sheet1!W68="INTEGER","FLOAT",Sheet1!W68))</f>
        <v>FLOAT</v>
      </c>
      <c r="G68" t="str">
        <f>Sheet1!U68</f>
        <v>GPS 전원 R상 전압 고조파 함유량</v>
      </c>
    </row>
    <row r="69" spans="1:7" x14ac:dyDescent="0.45">
      <c r="A69">
        <f>Sheet1!A69</f>
        <v>60005</v>
      </c>
      <c r="B69" t="str">
        <f>Sheet1!C69</f>
        <v>R_PHASE_CURRENT_ITDD_1</v>
      </c>
      <c r="C69" t="str">
        <f>IFERROR(IF(OR(LEN(TRIM(Sheet1!G69))=0, Sheet1!G69="N/A"), "-", Sheet1!G69),"-")</f>
        <v>%</v>
      </c>
      <c r="D69" t="str">
        <f>IFERROR(IF(OR(LEN(TRIM(Sheet1!I69))=0, Sheet1!I69="N/A"), "-", Sheet1!I69),"-")</f>
        <v>-</v>
      </c>
      <c r="E69" t="str">
        <f>IFERROR(IF(OR(LEN(TRIM(Sheet1!K69))=0, Sheet1!K69="N/A"), "-", Sheet1!K69),"-")</f>
        <v>-</v>
      </c>
      <c r="F69" t="str">
        <f>IF(Sheet1!W69="STRING","ASCII",IF(Sheet1!W69="INTEGER","FLOAT",Sheet1!W69))</f>
        <v>FLOAT</v>
      </c>
      <c r="G69" t="str">
        <f>Sheet1!U69</f>
        <v>GPS 전원 R상 전류 고조파 함유량</v>
      </c>
    </row>
    <row r="70" spans="1:7" x14ac:dyDescent="0.45">
      <c r="A70">
        <f>Sheet1!A70</f>
        <v>60006</v>
      </c>
      <c r="B70" t="str">
        <f>Sheet1!C70</f>
        <v>SINGLE_PHASE_POWER_2</v>
      </c>
      <c r="C70" t="str">
        <f>IFERROR(IF(OR(LEN(TRIM(Sheet1!G70))=0, Sheet1!G70="N/A"), "-", Sheet1!G70),"-")</f>
        <v>KWh</v>
      </c>
      <c r="D70">
        <f>IFERROR(IF(OR(LEN(TRIM(Sheet1!I70))=0, Sheet1!I70="N/A"), "-", Sheet1!I70),"-")</f>
        <v>0</v>
      </c>
      <c r="E70" t="str">
        <f>IFERROR(IF(OR(LEN(TRIM(Sheet1!K70))=0, Sheet1!K70="N/A"), "-", Sheet1!K70),"-")</f>
        <v>-</v>
      </c>
      <c r="F70" t="str">
        <f>IF(Sheet1!W70="STRING","ASCII",IF(Sheet1!W70="INTEGER","FLOAT",Sheet1!W70))</f>
        <v>FLOAT</v>
      </c>
      <c r="G70" t="str">
        <f>Sheet1!U70</f>
        <v>UPS 전원 전력량</v>
      </c>
    </row>
    <row r="71" spans="1:7" x14ac:dyDescent="0.45">
      <c r="A71">
        <f>Sheet1!A71</f>
        <v>60007</v>
      </c>
      <c r="B71" t="str">
        <f>Sheet1!C71</f>
        <v>INSTANTANEOUS_POWER_2</v>
      </c>
      <c r="C71" t="str">
        <f>IFERROR(IF(OR(LEN(TRIM(Sheet1!G71))=0, Sheet1!G71="N/A"), "-", Sheet1!G71),"-")</f>
        <v>KW</v>
      </c>
      <c r="D71">
        <f>IFERROR(IF(OR(LEN(TRIM(Sheet1!I71))=0, Sheet1!I71="N/A"), "-", Sheet1!I71),"-")</f>
        <v>0</v>
      </c>
      <c r="E71">
        <f>IFERROR(IF(OR(LEN(TRIM(Sheet1!K71))=0, Sheet1!K71="N/A"), "-", Sheet1!K71),"-")</f>
        <v>10</v>
      </c>
      <c r="F71" t="str">
        <f>IF(Sheet1!W71="STRING","ASCII",IF(Sheet1!W71="INTEGER","FLOAT",Sheet1!W71))</f>
        <v>FLOAT</v>
      </c>
      <c r="G71" t="str">
        <f>Sheet1!U71</f>
        <v>UPS 전원 현재 소모전력</v>
      </c>
    </row>
    <row r="72" spans="1:7" x14ac:dyDescent="0.45">
      <c r="A72">
        <f>Sheet1!A72</f>
        <v>60008</v>
      </c>
      <c r="B72" t="str">
        <f>Sheet1!C72</f>
        <v>R_PHASE_VOLTAGE_2</v>
      </c>
      <c r="C72" t="str">
        <f>IFERROR(IF(OR(LEN(TRIM(Sheet1!G72))=0, Sheet1!G72="N/A"), "-", Sheet1!G72),"-")</f>
        <v>V</v>
      </c>
      <c r="D72">
        <f>IFERROR(IF(OR(LEN(TRIM(Sheet1!I72))=0, Sheet1!I72="N/A"), "-", Sheet1!I72),"-")</f>
        <v>180</v>
      </c>
      <c r="E72">
        <f>IFERROR(IF(OR(LEN(TRIM(Sheet1!K72))=0, Sheet1!K72="N/A"), "-", Sheet1!K72),"-")</f>
        <v>240</v>
      </c>
      <c r="F72" t="str">
        <f>IF(Sheet1!W72="STRING","ASCII",IF(Sheet1!W72="INTEGER","FLOAT",Sheet1!W72))</f>
        <v>FLOAT</v>
      </c>
      <c r="G72" t="str">
        <f>Sheet1!U72</f>
        <v>UPS 전원 R상 전압값</v>
      </c>
    </row>
    <row r="73" spans="1:7" x14ac:dyDescent="0.45">
      <c r="A73">
        <f>Sheet1!A73</f>
        <v>60009</v>
      </c>
      <c r="B73" t="str">
        <f>Sheet1!C73</f>
        <v>R_PHASE_CURRENT_2</v>
      </c>
      <c r="C73" t="str">
        <f>IFERROR(IF(OR(LEN(TRIM(Sheet1!G73))=0, Sheet1!G73="N/A"), "-", Sheet1!G73),"-")</f>
        <v>A</v>
      </c>
      <c r="D73">
        <f>IFERROR(IF(OR(LEN(TRIM(Sheet1!I73))=0, Sheet1!I73="N/A"), "-", Sheet1!I73),"-")</f>
        <v>0</v>
      </c>
      <c r="E73">
        <f>IFERROR(IF(OR(LEN(TRIM(Sheet1!K73))=0, Sheet1!K73="N/A"), "-", Sheet1!K73),"-")</f>
        <v>10</v>
      </c>
      <c r="F73" t="str">
        <f>IF(Sheet1!W73="STRING","ASCII",IF(Sheet1!W73="INTEGER","FLOAT",Sheet1!W73))</f>
        <v>FLOAT</v>
      </c>
      <c r="G73" t="str">
        <f>Sheet1!U73</f>
        <v>UPS 전원 R상 전류값</v>
      </c>
    </row>
    <row r="74" spans="1:7" x14ac:dyDescent="0.45">
      <c r="A74">
        <f>Sheet1!A74</f>
        <v>60010</v>
      </c>
      <c r="B74" t="str">
        <f>Sheet1!C74</f>
        <v>R_PHASE_VOLTAGE_VTHD_2</v>
      </c>
      <c r="C74" t="str">
        <f>IFERROR(IF(OR(LEN(TRIM(Sheet1!G74))=0, Sheet1!G74="N/A"), "-", Sheet1!G74),"-")</f>
        <v>%</v>
      </c>
      <c r="D74" t="str">
        <f>IFERROR(IF(OR(LEN(TRIM(Sheet1!I74))=0, Sheet1!I74="N/A"), "-", Sheet1!I74),"-")</f>
        <v>-</v>
      </c>
      <c r="E74" t="str">
        <f>IFERROR(IF(OR(LEN(TRIM(Sheet1!K74))=0, Sheet1!K74="N/A"), "-", Sheet1!K74),"-")</f>
        <v>-</v>
      </c>
      <c r="F74" t="str">
        <f>IF(Sheet1!W74="STRING","ASCII",IF(Sheet1!W74="INTEGER","FLOAT",Sheet1!W74))</f>
        <v>FLOAT</v>
      </c>
      <c r="G74" t="str">
        <f>Sheet1!U74</f>
        <v>UPS 전원 R상 전압 고조파 함유량</v>
      </c>
    </row>
    <row r="75" spans="1:7" x14ac:dyDescent="0.45">
      <c r="A75">
        <f>Sheet1!A75</f>
        <v>60011</v>
      </c>
      <c r="B75" t="str">
        <f>Sheet1!C75</f>
        <v>R_PHASE_CURRENT_ITDD_2</v>
      </c>
      <c r="C75" t="str">
        <f>IFERROR(IF(OR(LEN(TRIM(Sheet1!G75))=0, Sheet1!G75="N/A"), "-", Sheet1!G75),"-")</f>
        <v>%</v>
      </c>
      <c r="D75" t="str">
        <f>IFERROR(IF(OR(LEN(TRIM(Sheet1!I75))=0, Sheet1!I75="N/A"), "-", Sheet1!I75),"-")</f>
        <v>-</v>
      </c>
      <c r="E75" t="str">
        <f>IFERROR(IF(OR(LEN(TRIM(Sheet1!K75))=0, Sheet1!K75="N/A"), "-", Sheet1!K75),"-")</f>
        <v>-</v>
      </c>
      <c r="F75" t="str">
        <f>IF(Sheet1!W75="STRING","ASCII",IF(Sheet1!W75="INTEGER","FLOAT",Sheet1!W75))</f>
        <v>FLOAT</v>
      </c>
      <c r="G75" t="str">
        <f>Sheet1!U75</f>
        <v>UPS 전원 R상 전류 고조파 함유량</v>
      </c>
    </row>
    <row r="76" spans="1:7" x14ac:dyDescent="0.45">
      <c r="A76">
        <f>Sheet1!A76</f>
        <v>0</v>
      </c>
      <c r="B76">
        <f>Sheet1!C76</f>
        <v>0</v>
      </c>
      <c r="C76" t="str">
        <f>IFERROR(IF(OR(LEN(TRIM(Sheet1!G76))=0, Sheet1!G76="N/A"), "-", Sheet1!G76),"-")</f>
        <v>-</v>
      </c>
      <c r="D76" t="str">
        <f>IFERROR(IF(OR(LEN(TRIM(Sheet1!I76))=0, Sheet1!I76="N/A"), "-", Sheet1!I76),"-")</f>
        <v>-</v>
      </c>
      <c r="E76" t="str">
        <f>IFERROR(IF(OR(LEN(TRIM(Sheet1!K76))=0, Sheet1!K76="N/A"), "-", Sheet1!K76),"-")</f>
        <v>-</v>
      </c>
      <c r="F76">
        <f>IF(Sheet1!W76="STRING","ASCII",IF(Sheet1!W76="INTEGER","FLOAT",Sheet1!W76))</f>
        <v>0</v>
      </c>
      <c r="G76">
        <f>Sheet1!U76</f>
        <v>0</v>
      </c>
    </row>
    <row r="77" spans="1:7" x14ac:dyDescent="0.45">
      <c r="A77">
        <f>Sheet1!A77</f>
        <v>0</v>
      </c>
      <c r="B77">
        <f>Sheet1!C77</f>
        <v>0</v>
      </c>
      <c r="C77" t="str">
        <f>IFERROR(IF(OR(LEN(TRIM(Sheet1!G77))=0, Sheet1!G77="N/A"), "-", Sheet1!G77),"-")</f>
        <v>-</v>
      </c>
      <c r="D77" t="str">
        <f>IFERROR(IF(OR(LEN(TRIM(Sheet1!I77))=0, Sheet1!I77="N/A"), "-", Sheet1!I77),"-")</f>
        <v>-</v>
      </c>
      <c r="E77" t="str">
        <f>IFERROR(IF(OR(LEN(TRIM(Sheet1!K77))=0, Sheet1!K77="N/A"), "-", Sheet1!K77),"-")</f>
        <v>-</v>
      </c>
      <c r="F77">
        <f>IF(Sheet1!W77="STRING","ASCII",IF(Sheet1!W77="INTEGER","FLOAT",Sheet1!W77))</f>
        <v>0</v>
      </c>
      <c r="G77">
        <f>Sheet1!U77</f>
        <v>0</v>
      </c>
    </row>
    <row r="78" spans="1:7" x14ac:dyDescent="0.45">
      <c r="A78">
        <f>Sheet1!A78</f>
        <v>0</v>
      </c>
      <c r="B78">
        <f>Sheet1!C78</f>
        <v>0</v>
      </c>
      <c r="C78" t="str">
        <f>IFERROR(IF(OR(LEN(TRIM(Sheet1!G78))=0, Sheet1!G78="N/A"), "-", Sheet1!G78),"-")</f>
        <v>-</v>
      </c>
      <c r="D78" t="str">
        <f>IFERROR(IF(OR(LEN(TRIM(Sheet1!I78))=0, Sheet1!I78="N/A"), "-", Sheet1!I78),"-")</f>
        <v>-</v>
      </c>
      <c r="E78" t="str">
        <f>IFERROR(IF(OR(LEN(TRIM(Sheet1!K78))=0, Sheet1!K78="N/A"), "-", Sheet1!K78),"-")</f>
        <v>-</v>
      </c>
      <c r="F78">
        <f>IF(Sheet1!W78="STRING","ASCII",IF(Sheet1!W78="INTEGER","FLOAT",Sheet1!W78))</f>
        <v>0</v>
      </c>
      <c r="G78">
        <f>Sheet1!U78</f>
        <v>0</v>
      </c>
    </row>
    <row r="79" spans="1:7" x14ac:dyDescent="0.45">
      <c r="A79">
        <f>Sheet1!A79</f>
        <v>0</v>
      </c>
      <c r="B79">
        <f>Sheet1!C79</f>
        <v>0</v>
      </c>
      <c r="C79" t="str">
        <f>IFERROR(IF(OR(LEN(TRIM(Sheet1!G79))=0, Sheet1!G79="N/A"), "-", Sheet1!G79),"-")</f>
        <v>-</v>
      </c>
      <c r="D79" t="str">
        <f>IFERROR(IF(OR(LEN(TRIM(Sheet1!I79))=0, Sheet1!I79="N/A"), "-", Sheet1!I79),"-")</f>
        <v>-</v>
      </c>
      <c r="E79" t="str">
        <f>IFERROR(IF(OR(LEN(TRIM(Sheet1!K79))=0, Sheet1!K79="N/A"), "-", Sheet1!K79),"-")</f>
        <v>-</v>
      </c>
      <c r="F79">
        <f>IF(Sheet1!W79="STRING","ASCII",IF(Sheet1!W79="INTEGER","FLOAT",Sheet1!W79))</f>
        <v>0</v>
      </c>
      <c r="G79">
        <f>Sheet1!U79</f>
        <v>0</v>
      </c>
    </row>
    <row r="80" spans="1:7" x14ac:dyDescent="0.45">
      <c r="A80">
        <f>Sheet1!A80</f>
        <v>0</v>
      </c>
      <c r="B80">
        <f>Sheet1!C80</f>
        <v>0</v>
      </c>
      <c r="C80" t="str">
        <f>IFERROR(IF(OR(LEN(TRIM(Sheet1!G80))=0, Sheet1!G80="N/A"), "-", Sheet1!G80),"-")</f>
        <v>-</v>
      </c>
      <c r="D80" t="str">
        <f>IFERROR(IF(OR(LEN(TRIM(Sheet1!I80))=0, Sheet1!I80="N/A"), "-", Sheet1!I80),"-")</f>
        <v>-</v>
      </c>
      <c r="E80" t="str">
        <f>IFERROR(IF(OR(LEN(TRIM(Sheet1!K80))=0, Sheet1!K80="N/A"), "-", Sheet1!K80),"-")</f>
        <v>-</v>
      </c>
      <c r="F80">
        <f>IF(Sheet1!W80="STRING","ASCII",IF(Sheet1!W80="INTEGER","FLOAT",Sheet1!W80))</f>
        <v>0</v>
      </c>
      <c r="G80">
        <f>Sheet1!U80</f>
        <v>0</v>
      </c>
    </row>
    <row r="81" spans="1:7" x14ac:dyDescent="0.45">
      <c r="A81">
        <f>Sheet1!A81</f>
        <v>0</v>
      </c>
      <c r="B81">
        <f>Sheet1!C81</f>
        <v>0</v>
      </c>
      <c r="C81" t="str">
        <f>IFERROR(IF(OR(LEN(TRIM(Sheet1!G81))=0, Sheet1!G81="N/A"), "-", Sheet1!G81),"-")</f>
        <v>-</v>
      </c>
      <c r="D81" t="str">
        <f>IFERROR(IF(OR(LEN(TRIM(Sheet1!I81))=0, Sheet1!I81="N/A"), "-", Sheet1!I81),"-")</f>
        <v>-</v>
      </c>
      <c r="E81" t="str">
        <f>IFERROR(IF(OR(LEN(TRIM(Sheet1!K81))=0, Sheet1!K81="N/A"), "-", Sheet1!K81),"-")</f>
        <v>-</v>
      </c>
      <c r="F81">
        <f>IF(Sheet1!W81="STRING","ASCII",IF(Sheet1!W81="INTEGER","FLOAT",Sheet1!W81))</f>
        <v>0</v>
      </c>
      <c r="G81">
        <f>Sheet1!U81</f>
        <v>0</v>
      </c>
    </row>
  </sheetData>
  <phoneticPr fontId="1" type="noConversion"/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Sheet1</vt:lpstr>
      <vt:lpstr>Def</vt:lpstr>
      <vt:lpstr>OSS SVID Sheet</vt:lpstr>
      <vt:lpstr>Hellopeople SVID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HYNTAE JUNG</dc:creator>
  <dc:description/>
  <cp:lastModifiedBy>user</cp:lastModifiedBy>
  <cp:revision>1</cp:revision>
  <dcterms:created xsi:type="dcterms:W3CDTF">2018-04-15T04:53:08Z</dcterms:created>
  <dcterms:modified xsi:type="dcterms:W3CDTF">2026-03-04T08:28:23Z</dcterms:modified>
  <dc:language>ko-KR</dc:language>
</cp:coreProperties>
</file>