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2025_163_SDV.V3.NFT-SVI-R_type3_mod\src\SVI_NFT_R\SVI_NFT_R\Database\RECORD\"/>
    </mc:Choice>
  </mc:AlternateContent>
  <bookViews>
    <workbookView xWindow="-120" yWindow="-120" windowWidth="29040" windowHeight="15840"/>
  </bookViews>
  <sheets>
    <sheet name="Sheet1" sheetId="1" r:id="rId1"/>
    <sheet name="알람 범위" sheetId="2" r:id="rId2"/>
    <sheet name="EnumMaker" sheetId="3" r:id="rId3"/>
    <sheet name="OSS Alarm Sheet" sheetId="4" r:id="rId4"/>
    <sheet name="URCIS Alarm Sheet" sheetId="5" r:id="rId5"/>
    <sheet name="Hellopeople Alarm Sheet" sheetId="6" r:id="rId6"/>
  </sheets>
  <calcPr calcId="162913" iterateCount="1"/>
</workbook>
</file>

<file path=xl/calcChain.xml><?xml version="1.0" encoding="utf-8"?>
<calcChain xmlns="http://schemas.openxmlformats.org/spreadsheetml/2006/main">
  <c r="A3" i="4" l="1"/>
  <c r="B3" i="4"/>
  <c r="C3" i="4"/>
  <c r="D3" i="4"/>
  <c r="F3" i="4"/>
  <c r="G3" i="4"/>
  <c r="B4" i="4"/>
  <c r="A4" i="4" s="1"/>
  <c r="C4" i="4"/>
  <c r="D4" i="4"/>
  <c r="F4" i="4"/>
  <c r="G4" i="4"/>
  <c r="B5" i="4"/>
  <c r="A5" i="4" s="1"/>
  <c r="C5" i="4"/>
  <c r="D5" i="4"/>
  <c r="F5" i="4"/>
  <c r="G5" i="4"/>
  <c r="B6" i="4"/>
  <c r="A6" i="4" s="1"/>
  <c r="C6" i="4"/>
  <c r="D6" i="4"/>
  <c r="F6" i="4"/>
  <c r="G6" i="4"/>
  <c r="B7" i="4"/>
  <c r="A7" i="4" s="1"/>
  <c r="C7" i="4"/>
  <c r="D7" i="4"/>
  <c r="F7" i="4"/>
  <c r="G7" i="4"/>
  <c r="B8" i="4"/>
  <c r="A8" i="4" s="1"/>
  <c r="C8" i="4"/>
  <c r="D8" i="4"/>
  <c r="F8" i="4"/>
  <c r="G8" i="4"/>
  <c r="B9" i="4"/>
  <c r="A9" i="4" s="1"/>
  <c r="C9" i="4"/>
  <c r="D9" i="4"/>
  <c r="F9" i="4"/>
  <c r="G9" i="4"/>
  <c r="A10" i="4"/>
  <c r="B10" i="4"/>
  <c r="C10" i="4"/>
  <c r="D10" i="4"/>
  <c r="F10" i="4"/>
  <c r="G10" i="4"/>
  <c r="B11" i="4"/>
  <c r="A11" i="4" s="1"/>
  <c r="C11" i="4"/>
  <c r="D11" i="4"/>
  <c r="F11" i="4"/>
  <c r="G11" i="4"/>
  <c r="B12" i="4"/>
  <c r="A12" i="4" s="1"/>
  <c r="C12" i="4"/>
  <c r="D12" i="4"/>
  <c r="F12" i="4"/>
  <c r="G12" i="4"/>
  <c r="A13" i="4"/>
  <c r="B13" i="4"/>
  <c r="C13" i="4"/>
  <c r="D13" i="4"/>
  <c r="F13" i="4"/>
  <c r="G13" i="4"/>
  <c r="B14" i="4"/>
  <c r="A14" i="4" s="1"/>
  <c r="C14" i="4"/>
  <c r="D14" i="4"/>
  <c r="F14" i="4"/>
  <c r="G14" i="4"/>
  <c r="B15" i="4"/>
  <c r="A15" i="4" s="1"/>
  <c r="C15" i="4"/>
  <c r="D15" i="4"/>
  <c r="F15" i="4"/>
  <c r="G15" i="4"/>
  <c r="B16" i="4"/>
  <c r="A16" i="4" s="1"/>
  <c r="C16" i="4"/>
  <c r="D16" i="4"/>
  <c r="F16" i="4"/>
  <c r="G16" i="4"/>
  <c r="A17" i="4"/>
  <c r="B17" i="4"/>
  <c r="C17" i="4"/>
  <c r="D17" i="4"/>
  <c r="F17" i="4"/>
  <c r="G17" i="4"/>
  <c r="B18" i="4"/>
  <c r="A18" i="4" s="1"/>
  <c r="C18" i="4"/>
  <c r="D18" i="4"/>
  <c r="F18" i="4"/>
  <c r="G18" i="4"/>
  <c r="B19" i="4"/>
  <c r="A19" i="4" s="1"/>
  <c r="C19" i="4"/>
  <c r="D19" i="4"/>
  <c r="F19" i="4"/>
  <c r="G19" i="4"/>
  <c r="A20" i="4"/>
  <c r="B20" i="4"/>
  <c r="C20" i="4"/>
  <c r="D20" i="4"/>
  <c r="F20" i="4"/>
  <c r="G20" i="4"/>
  <c r="B21" i="4"/>
  <c r="A21" i="4" s="1"/>
  <c r="C21" i="4"/>
  <c r="D21" i="4"/>
  <c r="F21" i="4"/>
  <c r="G21" i="4"/>
  <c r="B22" i="4"/>
  <c r="A22" i="4" s="1"/>
  <c r="C22" i="4"/>
  <c r="D22" i="4"/>
  <c r="F22" i="4"/>
  <c r="G22" i="4"/>
  <c r="A23" i="4"/>
  <c r="B23" i="4"/>
  <c r="C23" i="4"/>
  <c r="D23" i="4"/>
  <c r="F23" i="4"/>
  <c r="G23" i="4"/>
  <c r="B24" i="4"/>
  <c r="A24" i="4" s="1"/>
  <c r="C24" i="4"/>
  <c r="D24" i="4"/>
  <c r="F24" i="4"/>
  <c r="G24" i="4"/>
  <c r="B25" i="4"/>
  <c r="A25" i="4" s="1"/>
  <c r="C25" i="4"/>
  <c r="D25" i="4"/>
  <c r="F25" i="4"/>
  <c r="G25" i="4"/>
  <c r="B26" i="4"/>
  <c r="A26" i="4" s="1"/>
  <c r="C26" i="4"/>
  <c r="D26" i="4"/>
  <c r="F26" i="4"/>
  <c r="G26" i="4"/>
  <c r="A27" i="4"/>
  <c r="B27" i="4"/>
  <c r="C27" i="4"/>
  <c r="D27" i="4"/>
  <c r="F27" i="4"/>
  <c r="G27" i="4"/>
  <c r="B28" i="4"/>
  <c r="A28" i="4" s="1"/>
  <c r="C28" i="4"/>
  <c r="D28" i="4"/>
  <c r="F28" i="4"/>
  <c r="G28" i="4"/>
  <c r="B29" i="4"/>
  <c r="A29" i="4" s="1"/>
  <c r="C29" i="4"/>
  <c r="D29" i="4"/>
  <c r="F29" i="4"/>
  <c r="G29" i="4"/>
  <c r="A30" i="4"/>
  <c r="B30" i="4"/>
  <c r="C30" i="4"/>
  <c r="D30" i="4"/>
  <c r="F30" i="4"/>
  <c r="G30" i="4"/>
  <c r="B31" i="4"/>
  <c r="A31" i="4" s="1"/>
  <c r="C31" i="4"/>
  <c r="D31" i="4"/>
  <c r="F31" i="4"/>
  <c r="G31" i="4"/>
  <c r="B32" i="4"/>
  <c r="A32" i="4" s="1"/>
  <c r="C32" i="4"/>
  <c r="D32" i="4"/>
  <c r="F32" i="4"/>
  <c r="G32" i="4"/>
  <c r="A33" i="4"/>
  <c r="B33" i="4"/>
  <c r="C33" i="4"/>
  <c r="D33" i="4"/>
  <c r="F33" i="4"/>
  <c r="G33" i="4"/>
  <c r="B34" i="4"/>
  <c r="A34" i="4" s="1"/>
  <c r="C34" i="4"/>
  <c r="D34" i="4"/>
  <c r="F34" i="4"/>
  <c r="G34" i="4"/>
  <c r="B35" i="4"/>
  <c r="A35" i="4" s="1"/>
  <c r="C35" i="4"/>
  <c r="D35" i="4"/>
  <c r="F35" i="4"/>
  <c r="G35" i="4"/>
  <c r="B36" i="4"/>
  <c r="A36" i="4" s="1"/>
  <c r="C36" i="4"/>
  <c r="D36" i="4"/>
  <c r="F36" i="4"/>
  <c r="G36" i="4"/>
  <c r="A37" i="4"/>
  <c r="B37" i="4"/>
  <c r="C37" i="4"/>
  <c r="D37" i="4"/>
  <c r="F37" i="4"/>
  <c r="G37" i="4"/>
  <c r="B38" i="4"/>
  <c r="A38" i="4" s="1"/>
  <c r="C38" i="4"/>
  <c r="D38" i="4"/>
  <c r="F38" i="4"/>
  <c r="G38" i="4"/>
  <c r="B39" i="4"/>
  <c r="A39" i="4" s="1"/>
  <c r="C39" i="4"/>
  <c r="D39" i="4"/>
  <c r="F39" i="4"/>
  <c r="G39" i="4"/>
  <c r="A40" i="4"/>
  <c r="B40" i="4"/>
  <c r="C40" i="4"/>
  <c r="D40" i="4"/>
  <c r="F40" i="4"/>
  <c r="G40" i="4"/>
  <c r="B41" i="4"/>
  <c r="A41" i="4" s="1"/>
  <c r="C41" i="4"/>
  <c r="D41" i="4"/>
  <c r="F41" i="4"/>
  <c r="G41" i="4"/>
  <c r="B42" i="4"/>
  <c r="A42" i="4" s="1"/>
  <c r="C42" i="4"/>
  <c r="D42" i="4"/>
  <c r="F42" i="4"/>
  <c r="G42" i="4"/>
  <c r="A43" i="4"/>
  <c r="B43" i="4"/>
  <c r="C43" i="4"/>
  <c r="D43" i="4"/>
  <c r="F43" i="4"/>
  <c r="G43" i="4"/>
  <c r="B44" i="4"/>
  <c r="A44" i="4" s="1"/>
  <c r="C44" i="4"/>
  <c r="D44" i="4"/>
  <c r="F44" i="4"/>
  <c r="G44" i="4"/>
  <c r="B45" i="4"/>
  <c r="A45" i="4" s="1"/>
  <c r="C45" i="4"/>
  <c r="D45" i="4"/>
  <c r="F45" i="4"/>
  <c r="G45" i="4"/>
  <c r="B46" i="4"/>
  <c r="A46" i="4" s="1"/>
  <c r="C46" i="4"/>
  <c r="D46" i="4"/>
  <c r="F46" i="4"/>
  <c r="G46" i="4"/>
  <c r="A47" i="4"/>
  <c r="B47" i="4"/>
  <c r="C47" i="4"/>
  <c r="D47" i="4"/>
  <c r="F47" i="4"/>
  <c r="G47" i="4"/>
  <c r="B48" i="4"/>
  <c r="A48" i="4" s="1"/>
  <c r="C48" i="4"/>
  <c r="D48" i="4"/>
  <c r="F48" i="4"/>
  <c r="G48" i="4"/>
  <c r="B49" i="4"/>
  <c r="A49" i="4" s="1"/>
  <c r="C49" i="4"/>
  <c r="D49" i="4"/>
  <c r="F49" i="4"/>
  <c r="G49" i="4"/>
  <c r="A50" i="4"/>
  <c r="B50" i="4"/>
  <c r="C50" i="4"/>
  <c r="D50" i="4"/>
  <c r="F50" i="4"/>
  <c r="G50" i="4"/>
  <c r="B51" i="4"/>
  <c r="A51" i="4" s="1"/>
  <c r="C51" i="4"/>
  <c r="D51" i="4"/>
  <c r="F51" i="4"/>
  <c r="G51" i="4"/>
  <c r="B52" i="4"/>
  <c r="A52" i="4" s="1"/>
  <c r="C52" i="4"/>
  <c r="D52" i="4"/>
  <c r="F52" i="4"/>
  <c r="G52" i="4"/>
  <c r="A53" i="4"/>
  <c r="B53" i="4"/>
  <c r="C53" i="4"/>
  <c r="D53" i="4"/>
  <c r="F53" i="4"/>
  <c r="G53" i="4"/>
  <c r="B54" i="4"/>
  <c r="A54" i="4" s="1"/>
  <c r="C54" i="4"/>
  <c r="D54" i="4"/>
  <c r="F54" i="4"/>
  <c r="G54" i="4"/>
  <c r="B55" i="4"/>
  <c r="A55" i="4" s="1"/>
  <c r="C55" i="4"/>
  <c r="D55" i="4"/>
  <c r="F55" i="4"/>
  <c r="G55" i="4"/>
  <c r="B56" i="4"/>
  <c r="A56" i="4" s="1"/>
  <c r="C56" i="4"/>
  <c r="D56" i="4"/>
  <c r="F56" i="4"/>
  <c r="G56" i="4"/>
  <c r="A57" i="4"/>
  <c r="B57" i="4"/>
  <c r="C57" i="4"/>
  <c r="D57" i="4"/>
  <c r="F57" i="4"/>
  <c r="G57" i="4"/>
  <c r="B58" i="4"/>
  <c r="A58" i="4" s="1"/>
  <c r="C58" i="4"/>
  <c r="D58" i="4"/>
  <c r="F58" i="4"/>
  <c r="G58" i="4"/>
  <c r="B59" i="4"/>
  <c r="A59" i="4" s="1"/>
  <c r="C59" i="4"/>
  <c r="D59" i="4"/>
  <c r="F59" i="4"/>
  <c r="G59" i="4"/>
  <c r="A60" i="4"/>
  <c r="B60" i="4"/>
  <c r="C60" i="4"/>
  <c r="D60" i="4"/>
  <c r="F60" i="4"/>
  <c r="G60" i="4"/>
  <c r="B61" i="4"/>
  <c r="A61" i="4" s="1"/>
  <c r="C61" i="4"/>
  <c r="D61" i="4"/>
  <c r="F61" i="4"/>
  <c r="G61" i="4"/>
  <c r="B62" i="4"/>
  <c r="A62" i="4" s="1"/>
  <c r="C62" i="4"/>
  <c r="D62" i="4"/>
  <c r="F62" i="4"/>
  <c r="G62" i="4"/>
  <c r="A63" i="4"/>
  <c r="B63" i="4"/>
  <c r="C63" i="4"/>
  <c r="D63" i="4"/>
  <c r="F63" i="4"/>
  <c r="G63" i="4"/>
  <c r="B64" i="4"/>
  <c r="A64" i="4" s="1"/>
  <c r="C64" i="4"/>
  <c r="D64" i="4"/>
  <c r="F64" i="4"/>
  <c r="G64" i="4"/>
  <c r="B65" i="4"/>
  <c r="A65" i="4" s="1"/>
  <c r="C65" i="4"/>
  <c r="D65" i="4"/>
  <c r="F65" i="4"/>
  <c r="G65" i="4"/>
  <c r="B66" i="4"/>
  <c r="A66" i="4" s="1"/>
  <c r="C66" i="4"/>
  <c r="D66" i="4"/>
  <c r="F66" i="4"/>
  <c r="G66" i="4"/>
  <c r="A67" i="4"/>
  <c r="B67" i="4"/>
  <c r="C67" i="4"/>
  <c r="D67" i="4"/>
  <c r="F67" i="4"/>
  <c r="G67" i="4"/>
  <c r="B68" i="4"/>
  <c r="A68" i="4" s="1"/>
  <c r="C68" i="4"/>
  <c r="D68" i="4"/>
  <c r="F68" i="4"/>
  <c r="G68" i="4"/>
  <c r="B69" i="4"/>
  <c r="A69" i="4" s="1"/>
  <c r="C69" i="4"/>
  <c r="D69" i="4"/>
  <c r="F69" i="4"/>
  <c r="G69" i="4"/>
  <c r="A70" i="4"/>
  <c r="B70" i="4"/>
  <c r="C70" i="4"/>
  <c r="D70" i="4"/>
  <c r="F70" i="4"/>
  <c r="G70" i="4"/>
  <c r="B71" i="4"/>
  <c r="A71" i="4" s="1"/>
  <c r="C71" i="4"/>
  <c r="D71" i="4"/>
  <c r="F71" i="4"/>
  <c r="G71" i="4"/>
  <c r="B72" i="4"/>
  <c r="A72" i="4" s="1"/>
  <c r="C72" i="4"/>
  <c r="D72" i="4"/>
  <c r="F72" i="4"/>
  <c r="G72" i="4"/>
  <c r="A73" i="4"/>
  <c r="B73" i="4"/>
  <c r="C73" i="4"/>
  <c r="D73" i="4"/>
  <c r="F73" i="4"/>
  <c r="G73" i="4"/>
  <c r="B74" i="4"/>
  <c r="A74" i="4" s="1"/>
  <c r="C74" i="4"/>
  <c r="D74" i="4"/>
  <c r="F74" i="4"/>
  <c r="G74" i="4"/>
  <c r="B75" i="4"/>
  <c r="A75" i="4" s="1"/>
  <c r="C75" i="4"/>
  <c r="D75" i="4"/>
  <c r="F75" i="4"/>
  <c r="G75" i="4"/>
  <c r="B76" i="4"/>
  <c r="A76" i="4" s="1"/>
  <c r="C76" i="4"/>
  <c r="D76" i="4"/>
  <c r="F76" i="4"/>
  <c r="G76" i="4"/>
  <c r="A77" i="4"/>
  <c r="B77" i="4"/>
  <c r="C77" i="4"/>
  <c r="D77" i="4"/>
  <c r="F77" i="4"/>
  <c r="G77" i="4"/>
  <c r="B78" i="4"/>
  <c r="A78" i="4" s="1"/>
  <c r="C78" i="4"/>
  <c r="D78" i="4"/>
  <c r="F78" i="4"/>
  <c r="G78" i="4"/>
  <c r="B79" i="4"/>
  <c r="A79" i="4" s="1"/>
  <c r="C79" i="4"/>
  <c r="D79" i="4"/>
  <c r="F79" i="4"/>
  <c r="G79" i="4"/>
  <c r="A80" i="4"/>
  <c r="B80" i="4"/>
  <c r="C80" i="4"/>
  <c r="D80" i="4"/>
  <c r="F80" i="4"/>
  <c r="G80" i="4"/>
  <c r="B81" i="4"/>
  <c r="A81" i="4" s="1"/>
  <c r="C81" i="4"/>
  <c r="D81" i="4"/>
  <c r="F81" i="4"/>
  <c r="G81" i="4"/>
  <c r="B82" i="4"/>
  <c r="A82" i="4" s="1"/>
  <c r="C82" i="4"/>
  <c r="D82" i="4"/>
  <c r="F82" i="4"/>
  <c r="G82" i="4"/>
  <c r="A83" i="4"/>
  <c r="B83" i="4"/>
  <c r="C83" i="4"/>
  <c r="D83" i="4"/>
  <c r="F83" i="4"/>
  <c r="G83" i="4"/>
  <c r="B84" i="4"/>
  <c r="A84" i="4" s="1"/>
  <c r="C84" i="4"/>
  <c r="D84" i="4"/>
  <c r="F84" i="4"/>
  <c r="G84" i="4"/>
  <c r="B85" i="4"/>
  <c r="A85" i="4" s="1"/>
  <c r="C85" i="4"/>
  <c r="D85" i="4"/>
  <c r="F85" i="4"/>
  <c r="G85" i="4"/>
  <c r="B86" i="4"/>
  <c r="A86" i="4" s="1"/>
  <c r="C86" i="4"/>
  <c r="D86" i="4"/>
  <c r="F86" i="4"/>
  <c r="G86" i="4"/>
  <c r="A87" i="4"/>
  <c r="B87" i="4"/>
  <c r="C87" i="4"/>
  <c r="D87" i="4"/>
  <c r="F87" i="4"/>
  <c r="G87" i="4"/>
  <c r="B88" i="4"/>
  <c r="A88" i="4" s="1"/>
  <c r="C88" i="4"/>
  <c r="D88" i="4"/>
  <c r="F88" i="4"/>
  <c r="G88" i="4"/>
  <c r="B89" i="4"/>
  <c r="A89" i="4" s="1"/>
  <c r="C89" i="4"/>
  <c r="D89" i="4"/>
  <c r="F89" i="4"/>
  <c r="G89" i="4"/>
  <c r="A90" i="4"/>
  <c r="B90" i="4"/>
  <c r="C90" i="4"/>
  <c r="D90" i="4"/>
  <c r="F90" i="4"/>
  <c r="G90" i="4"/>
  <c r="B91" i="4"/>
  <c r="A91" i="4" s="1"/>
  <c r="C91" i="4"/>
  <c r="D91" i="4"/>
  <c r="F91" i="4"/>
  <c r="G91" i="4"/>
  <c r="B92" i="4"/>
  <c r="A92" i="4" s="1"/>
  <c r="C92" i="4"/>
  <c r="D92" i="4"/>
  <c r="F92" i="4"/>
  <c r="G92" i="4"/>
  <c r="A93" i="4"/>
  <c r="B93" i="4"/>
  <c r="C93" i="4"/>
  <c r="D93" i="4"/>
  <c r="F93" i="4"/>
  <c r="G93" i="4"/>
  <c r="B94" i="4"/>
  <c r="A94" i="4" s="1"/>
  <c r="C94" i="4"/>
  <c r="D94" i="4"/>
  <c r="F94" i="4"/>
  <c r="G94" i="4"/>
  <c r="B95" i="4"/>
  <c r="A95" i="4" s="1"/>
  <c r="C95" i="4"/>
  <c r="D95" i="4"/>
  <c r="F95" i="4"/>
  <c r="G95" i="4"/>
  <c r="B96" i="4"/>
  <c r="A96" i="4" s="1"/>
  <c r="C96" i="4"/>
  <c r="D96" i="4"/>
  <c r="F96" i="4"/>
  <c r="G96" i="4"/>
  <c r="A97" i="4"/>
  <c r="B97" i="4"/>
  <c r="C97" i="4"/>
  <c r="D97" i="4"/>
  <c r="F97" i="4"/>
  <c r="G97" i="4"/>
  <c r="B98" i="4"/>
  <c r="A98" i="4" s="1"/>
  <c r="C98" i="4"/>
  <c r="D98" i="4"/>
  <c r="F98" i="4"/>
  <c r="G98" i="4"/>
  <c r="B99" i="4"/>
  <c r="A99" i="4" s="1"/>
  <c r="C99" i="4"/>
  <c r="D99" i="4"/>
  <c r="F99" i="4"/>
  <c r="G99" i="4"/>
  <c r="A100" i="4"/>
  <c r="B100" i="4"/>
  <c r="C100" i="4"/>
  <c r="D100" i="4"/>
  <c r="F100" i="4"/>
  <c r="G100" i="4"/>
  <c r="B101" i="4"/>
  <c r="A101" i="4" s="1"/>
  <c r="C101" i="4"/>
  <c r="D101" i="4"/>
  <c r="F101" i="4"/>
  <c r="G101" i="4"/>
  <c r="B102" i="4"/>
  <c r="A102" i="4" s="1"/>
  <c r="C102" i="4"/>
  <c r="D102" i="4"/>
  <c r="F102" i="4"/>
  <c r="G102" i="4"/>
  <c r="A103" i="4"/>
  <c r="B103" i="4"/>
  <c r="C103" i="4"/>
  <c r="D103" i="4"/>
  <c r="F103" i="4"/>
  <c r="G103" i="4"/>
  <c r="B104" i="4"/>
  <c r="A104" i="4" s="1"/>
  <c r="C104" i="4"/>
  <c r="D104" i="4"/>
  <c r="F104" i="4"/>
  <c r="G104" i="4"/>
  <c r="B105" i="4"/>
  <c r="A105" i="4" s="1"/>
  <c r="C105" i="4"/>
  <c r="D105" i="4"/>
  <c r="F105" i="4"/>
  <c r="G105" i="4"/>
  <c r="B106" i="4"/>
  <c r="A106" i="4" s="1"/>
  <c r="C106" i="4"/>
  <c r="D106" i="4"/>
  <c r="F106" i="4"/>
  <c r="G106" i="4"/>
  <c r="A107" i="4"/>
  <c r="B107" i="4"/>
  <c r="C107" i="4"/>
  <c r="D107" i="4"/>
  <c r="F107" i="4"/>
  <c r="G107" i="4"/>
  <c r="B108" i="4"/>
  <c r="A108" i="4" s="1"/>
  <c r="C108" i="4"/>
  <c r="D108" i="4"/>
  <c r="F108" i="4"/>
  <c r="G108" i="4"/>
  <c r="B109" i="4"/>
  <c r="A109" i="4" s="1"/>
  <c r="C109" i="4"/>
  <c r="D109" i="4"/>
  <c r="F109" i="4"/>
  <c r="G109" i="4"/>
  <c r="A110" i="4"/>
  <c r="B110" i="4"/>
  <c r="C110" i="4"/>
  <c r="D110" i="4"/>
  <c r="F110" i="4"/>
  <c r="G110" i="4"/>
  <c r="B111" i="4"/>
  <c r="A111" i="4" s="1"/>
  <c r="C111" i="4"/>
  <c r="D111" i="4"/>
  <c r="F111" i="4"/>
  <c r="G111" i="4"/>
  <c r="B112" i="4"/>
  <c r="A112" i="4" s="1"/>
  <c r="C112" i="4"/>
  <c r="D112" i="4"/>
  <c r="F112" i="4"/>
  <c r="G112" i="4"/>
  <c r="A113" i="4"/>
  <c r="B113" i="4"/>
  <c r="C113" i="4"/>
  <c r="D113" i="4"/>
  <c r="F113" i="4"/>
  <c r="G113" i="4"/>
  <c r="B114" i="4"/>
  <c r="A114" i="4" s="1"/>
  <c r="C114" i="4"/>
  <c r="D114" i="4"/>
  <c r="F114" i="4"/>
  <c r="G114" i="4"/>
  <c r="B115" i="4"/>
  <c r="A115" i="4" s="1"/>
  <c r="C115" i="4"/>
  <c r="D115" i="4"/>
  <c r="F115" i="4"/>
  <c r="G115" i="4"/>
  <c r="B116" i="4"/>
  <c r="A116" i="4" s="1"/>
  <c r="C116" i="4"/>
  <c r="D116" i="4"/>
  <c r="F116" i="4"/>
  <c r="G116" i="4"/>
  <c r="A117" i="4"/>
  <c r="B117" i="4"/>
  <c r="C117" i="4"/>
  <c r="D117" i="4"/>
  <c r="F117" i="4"/>
  <c r="G117" i="4"/>
  <c r="B118" i="4"/>
  <c r="A118" i="4" s="1"/>
  <c r="C118" i="4"/>
  <c r="D118" i="4"/>
  <c r="F118" i="4"/>
  <c r="G118" i="4"/>
  <c r="B119" i="4"/>
  <c r="A119" i="4" s="1"/>
  <c r="C119" i="4"/>
  <c r="D119" i="4"/>
  <c r="F119" i="4"/>
  <c r="G119" i="4"/>
  <c r="A120" i="4"/>
  <c r="B120" i="4"/>
  <c r="C120" i="4"/>
  <c r="D120" i="4"/>
  <c r="F120" i="4"/>
  <c r="G120" i="4"/>
  <c r="B121" i="4"/>
  <c r="A121" i="4" s="1"/>
  <c r="C121" i="4"/>
  <c r="D121" i="4"/>
  <c r="F121" i="4"/>
  <c r="G121" i="4"/>
  <c r="B122" i="4"/>
  <c r="A122" i="4" s="1"/>
  <c r="C122" i="4"/>
  <c r="D122" i="4"/>
  <c r="F122" i="4"/>
  <c r="G122" i="4"/>
  <c r="A123" i="4"/>
  <c r="B123" i="4"/>
  <c r="C123" i="4"/>
  <c r="D123" i="4"/>
  <c r="F123" i="4"/>
  <c r="G123" i="4"/>
  <c r="B124" i="4"/>
  <c r="A124" i="4" s="1"/>
  <c r="C124" i="4"/>
  <c r="D124" i="4"/>
  <c r="F124" i="4"/>
  <c r="G124" i="4"/>
  <c r="B125" i="4"/>
  <c r="A125" i="4" s="1"/>
  <c r="C125" i="4"/>
  <c r="D125" i="4"/>
  <c r="F125" i="4"/>
  <c r="G125" i="4"/>
  <c r="B126" i="4"/>
  <c r="A126" i="4" s="1"/>
  <c r="C126" i="4"/>
  <c r="D126" i="4"/>
  <c r="F126" i="4"/>
  <c r="G126" i="4"/>
  <c r="A127" i="4"/>
  <c r="B127" i="4"/>
  <c r="C127" i="4"/>
  <c r="D127" i="4"/>
  <c r="F127" i="4"/>
  <c r="G127" i="4"/>
  <c r="B128" i="4"/>
  <c r="A128" i="4" s="1"/>
  <c r="C128" i="4"/>
  <c r="D128" i="4"/>
  <c r="F128" i="4"/>
  <c r="G128" i="4"/>
  <c r="B129" i="4"/>
  <c r="A129" i="4" s="1"/>
  <c r="C129" i="4"/>
  <c r="D129" i="4"/>
  <c r="F129" i="4"/>
  <c r="G129" i="4"/>
  <c r="A130" i="4"/>
  <c r="B130" i="4"/>
  <c r="C130" i="4"/>
  <c r="D130" i="4"/>
  <c r="F130" i="4"/>
  <c r="G130" i="4"/>
  <c r="B131" i="4"/>
  <c r="A131" i="4" s="1"/>
  <c r="C131" i="4"/>
  <c r="D131" i="4"/>
  <c r="F131" i="4"/>
  <c r="G131" i="4"/>
  <c r="B132" i="4"/>
  <c r="A132" i="4" s="1"/>
  <c r="C132" i="4"/>
  <c r="D132" i="4"/>
  <c r="F132" i="4"/>
  <c r="G132" i="4"/>
  <c r="A133" i="4"/>
  <c r="B133" i="4"/>
  <c r="C133" i="4"/>
  <c r="D133" i="4"/>
  <c r="F133" i="4"/>
  <c r="G133" i="4"/>
  <c r="B134" i="4"/>
  <c r="A134" i="4" s="1"/>
  <c r="C134" i="4"/>
  <c r="D134" i="4"/>
  <c r="F134" i="4"/>
  <c r="G134" i="4"/>
  <c r="B135" i="4"/>
  <c r="A135" i="4" s="1"/>
  <c r="C135" i="4"/>
  <c r="D135" i="4"/>
  <c r="F135" i="4"/>
  <c r="G135" i="4"/>
  <c r="B136" i="4"/>
  <c r="A136" i="4" s="1"/>
  <c r="C136" i="4"/>
  <c r="D136" i="4"/>
  <c r="F136" i="4"/>
  <c r="G136" i="4"/>
  <c r="A137" i="4"/>
  <c r="B137" i="4"/>
  <c r="C137" i="4"/>
  <c r="D137" i="4"/>
  <c r="F137" i="4"/>
  <c r="G137" i="4"/>
  <c r="B138" i="4"/>
  <c r="A138" i="4" s="1"/>
  <c r="C138" i="4"/>
  <c r="D138" i="4"/>
  <c r="F138" i="4"/>
  <c r="G138" i="4"/>
  <c r="B139" i="4"/>
  <c r="A139" i="4" s="1"/>
  <c r="C139" i="4"/>
  <c r="D139" i="4"/>
  <c r="F139" i="4"/>
  <c r="G139" i="4"/>
  <c r="A140" i="4"/>
  <c r="B140" i="4"/>
  <c r="C140" i="4"/>
  <c r="D140" i="4"/>
  <c r="F140" i="4"/>
  <c r="G140" i="4"/>
  <c r="B141" i="4"/>
  <c r="A141" i="4" s="1"/>
  <c r="C141" i="4"/>
  <c r="D141" i="4"/>
  <c r="F141" i="4"/>
  <c r="G141" i="4"/>
  <c r="B142" i="4"/>
  <c r="A142" i="4" s="1"/>
  <c r="C142" i="4"/>
  <c r="D142" i="4"/>
  <c r="F142" i="4"/>
  <c r="G142" i="4"/>
  <c r="A143" i="4"/>
  <c r="B143" i="4"/>
  <c r="C143" i="4"/>
  <c r="D143" i="4"/>
  <c r="F143" i="4"/>
  <c r="G143" i="4"/>
  <c r="B144" i="4"/>
  <c r="A144" i="4" s="1"/>
  <c r="C144" i="4"/>
  <c r="D144" i="4"/>
  <c r="F144" i="4"/>
  <c r="G144" i="4"/>
  <c r="B145" i="4"/>
  <c r="A145" i="4" s="1"/>
  <c r="C145" i="4"/>
  <c r="D145" i="4"/>
  <c r="F145" i="4"/>
  <c r="G145" i="4"/>
  <c r="B146" i="4"/>
  <c r="A146" i="4" s="1"/>
  <c r="C146" i="4"/>
  <c r="D146" i="4"/>
  <c r="F146" i="4"/>
  <c r="G146" i="4"/>
  <c r="A147" i="4"/>
  <c r="B147" i="4"/>
  <c r="C147" i="4"/>
  <c r="D147" i="4"/>
  <c r="F147" i="4"/>
  <c r="G147" i="4"/>
  <c r="B148" i="4"/>
  <c r="A148" i="4" s="1"/>
  <c r="C148" i="4"/>
  <c r="D148" i="4"/>
  <c r="F148" i="4"/>
  <c r="G148" i="4"/>
  <c r="B149" i="4"/>
  <c r="A149" i="4" s="1"/>
  <c r="C149" i="4"/>
  <c r="D149" i="4"/>
  <c r="F149" i="4"/>
  <c r="G149" i="4"/>
  <c r="A150" i="4"/>
  <c r="B150" i="4"/>
  <c r="C150" i="4"/>
  <c r="D150" i="4"/>
  <c r="F150" i="4"/>
  <c r="G150" i="4"/>
  <c r="B151" i="4"/>
  <c r="A151" i="4" s="1"/>
  <c r="C151" i="4"/>
  <c r="D151" i="4"/>
  <c r="F151" i="4"/>
  <c r="G151" i="4"/>
  <c r="B152" i="4"/>
  <c r="A152" i="4" s="1"/>
  <c r="C152" i="4"/>
  <c r="D152" i="4"/>
  <c r="F152" i="4"/>
  <c r="G152" i="4"/>
  <c r="A153" i="4"/>
  <c r="B153" i="4"/>
  <c r="C153" i="4"/>
  <c r="D153" i="4"/>
  <c r="F153" i="4"/>
  <c r="G153" i="4"/>
  <c r="B154" i="4"/>
  <c r="A154" i="4" s="1"/>
  <c r="C154" i="4"/>
  <c r="D154" i="4"/>
  <c r="F154" i="4"/>
  <c r="G154" i="4"/>
  <c r="B155" i="4"/>
  <c r="A155" i="4" s="1"/>
  <c r="C155" i="4"/>
  <c r="D155" i="4"/>
  <c r="F155" i="4"/>
  <c r="G155" i="4"/>
  <c r="B156" i="4"/>
  <c r="A156" i="4" s="1"/>
  <c r="C156" i="4"/>
  <c r="D156" i="4"/>
  <c r="F156" i="4"/>
  <c r="G156" i="4"/>
  <c r="B157" i="4"/>
  <c r="A157" i="4" s="1"/>
  <c r="C157" i="4"/>
  <c r="D157" i="4"/>
  <c r="F157" i="4"/>
  <c r="G157" i="4"/>
  <c r="B158" i="4"/>
  <c r="A158" i="4" s="1"/>
  <c r="C158" i="4"/>
  <c r="D158" i="4"/>
  <c r="F158" i="4"/>
  <c r="G158" i="4"/>
  <c r="B159" i="4"/>
  <c r="A159" i="4" s="1"/>
  <c r="C159" i="4"/>
  <c r="D159" i="4"/>
  <c r="F159" i="4"/>
  <c r="G159" i="4"/>
  <c r="A160" i="4"/>
  <c r="B160" i="4"/>
  <c r="C160" i="4"/>
  <c r="D160" i="4"/>
  <c r="F160" i="4"/>
  <c r="G160" i="4"/>
  <c r="B161" i="4"/>
  <c r="A161" i="4" s="1"/>
  <c r="C161" i="4"/>
  <c r="D161" i="4"/>
  <c r="F161" i="4"/>
  <c r="G161" i="4"/>
  <c r="B162" i="4"/>
  <c r="A162" i="4" s="1"/>
  <c r="C162" i="4"/>
  <c r="D162" i="4"/>
  <c r="F162" i="4"/>
  <c r="G162" i="4"/>
  <c r="A163" i="4"/>
  <c r="B163" i="4"/>
  <c r="C163" i="4"/>
  <c r="D163" i="4"/>
  <c r="F163" i="4"/>
  <c r="G163" i="4"/>
  <c r="B164" i="4"/>
  <c r="A164" i="4" s="1"/>
  <c r="C164" i="4"/>
  <c r="D164" i="4"/>
  <c r="F164" i="4"/>
  <c r="G164" i="4"/>
  <c r="B165" i="4"/>
  <c r="A165" i="4" s="1"/>
  <c r="C165" i="4"/>
  <c r="D165" i="4"/>
  <c r="F165" i="4"/>
  <c r="G165" i="4"/>
  <c r="B166" i="4"/>
  <c r="A166" i="4" s="1"/>
  <c r="C166" i="4"/>
  <c r="D166" i="4"/>
  <c r="F166" i="4"/>
  <c r="G166" i="4"/>
  <c r="B167" i="4"/>
  <c r="A167" i="4" s="1"/>
  <c r="C167" i="4"/>
  <c r="D167" i="4"/>
  <c r="F167" i="4"/>
  <c r="G167" i="4"/>
  <c r="B168" i="4"/>
  <c r="A168" i="4" s="1"/>
  <c r="C168" i="4"/>
  <c r="D168" i="4"/>
  <c r="F168" i="4"/>
  <c r="G168" i="4"/>
  <c r="B169" i="4"/>
  <c r="A169" i="4" s="1"/>
  <c r="C169" i="4"/>
  <c r="D169" i="4"/>
  <c r="F169" i="4"/>
  <c r="G169" i="4"/>
  <c r="A170" i="4"/>
  <c r="B170" i="4"/>
  <c r="C170" i="4"/>
  <c r="D170" i="4"/>
  <c r="F170" i="4"/>
  <c r="G170" i="4"/>
  <c r="B171" i="4"/>
  <c r="A171" i="4" s="1"/>
  <c r="C171" i="4"/>
  <c r="D171" i="4"/>
  <c r="F171" i="4"/>
  <c r="G171" i="4"/>
  <c r="B172" i="4"/>
  <c r="A172" i="4" s="1"/>
  <c r="C172" i="4"/>
  <c r="D172" i="4"/>
  <c r="F172" i="4"/>
  <c r="G172" i="4"/>
  <c r="A173" i="4"/>
  <c r="B173" i="4"/>
  <c r="C173" i="4"/>
  <c r="D173" i="4"/>
  <c r="F173" i="4"/>
  <c r="G173" i="4"/>
  <c r="B174" i="4"/>
  <c r="A174" i="4" s="1"/>
  <c r="C174" i="4"/>
  <c r="D174" i="4"/>
  <c r="F174" i="4"/>
  <c r="G174" i="4"/>
  <c r="B175" i="4"/>
  <c r="A175" i="4" s="1"/>
  <c r="C175" i="4"/>
  <c r="D175" i="4"/>
  <c r="F175" i="4"/>
  <c r="G175" i="4"/>
  <c r="B176" i="4"/>
  <c r="A176" i="4" s="1"/>
  <c r="C176" i="4"/>
  <c r="D176" i="4"/>
  <c r="F176" i="4"/>
  <c r="G176" i="4"/>
  <c r="B177" i="4"/>
  <c r="A177" i="4" s="1"/>
  <c r="C177" i="4"/>
  <c r="D177" i="4"/>
  <c r="F177" i="4"/>
  <c r="G177" i="4"/>
  <c r="B178" i="4"/>
  <c r="A178" i="4" s="1"/>
  <c r="C178" i="4"/>
  <c r="D178" i="4"/>
  <c r="F178" i="4"/>
  <c r="G178" i="4"/>
  <c r="B179" i="4"/>
  <c r="A179" i="4" s="1"/>
  <c r="C179" i="4"/>
  <c r="D179" i="4"/>
  <c r="F179" i="4"/>
  <c r="G179" i="4"/>
  <c r="A180" i="4"/>
  <c r="B180" i="4"/>
  <c r="C180" i="4"/>
  <c r="D180" i="4"/>
  <c r="F180" i="4"/>
  <c r="G180" i="4"/>
  <c r="B181" i="4"/>
  <c r="A181" i="4" s="1"/>
  <c r="C181" i="4"/>
  <c r="D181" i="4"/>
  <c r="F181" i="4"/>
  <c r="G181" i="4"/>
  <c r="B182" i="4"/>
  <c r="A182" i="4" s="1"/>
  <c r="C182" i="4"/>
  <c r="D182" i="4"/>
  <c r="F182" i="4"/>
  <c r="G182" i="4"/>
  <c r="A183" i="4"/>
  <c r="B183" i="4"/>
  <c r="C183" i="4"/>
  <c r="D183" i="4"/>
  <c r="F183" i="4"/>
  <c r="G183" i="4"/>
  <c r="B184" i="4"/>
  <c r="A184" i="4" s="1"/>
  <c r="C184" i="4"/>
  <c r="D184" i="4"/>
  <c r="F184" i="4"/>
  <c r="G184" i="4"/>
  <c r="B185" i="4"/>
  <c r="A185" i="4" s="1"/>
  <c r="C185" i="4"/>
  <c r="D185" i="4"/>
  <c r="F185" i="4"/>
  <c r="G185" i="4"/>
  <c r="B186" i="4"/>
  <c r="A186" i="4" s="1"/>
  <c r="C186" i="4"/>
  <c r="D186" i="4"/>
  <c r="F186" i="4"/>
  <c r="G186" i="4"/>
  <c r="A187" i="4"/>
  <c r="B187" i="4"/>
  <c r="C187" i="4"/>
  <c r="D187" i="4"/>
  <c r="F187" i="4"/>
  <c r="G187" i="4"/>
  <c r="B188" i="4"/>
  <c r="A188" i="4" s="1"/>
  <c r="C188" i="4"/>
  <c r="D188" i="4"/>
  <c r="F188" i="4"/>
  <c r="G188" i="4"/>
  <c r="B189" i="4"/>
  <c r="A189" i="4" s="1"/>
  <c r="C189" i="4"/>
  <c r="D189" i="4"/>
  <c r="F189" i="4"/>
  <c r="G189" i="4"/>
  <c r="A190" i="4"/>
  <c r="B190" i="4"/>
  <c r="C190" i="4"/>
  <c r="D190" i="4"/>
  <c r="F190" i="4"/>
  <c r="G190" i="4"/>
  <c r="B191" i="4"/>
  <c r="A191" i="4" s="1"/>
  <c r="C191" i="4"/>
  <c r="D191" i="4"/>
  <c r="F191" i="4"/>
  <c r="G191" i="4"/>
  <c r="B192" i="4"/>
  <c r="A192" i="4" s="1"/>
  <c r="C192" i="4"/>
  <c r="D192" i="4"/>
  <c r="F192" i="4"/>
  <c r="G192" i="4"/>
  <c r="A193" i="4"/>
  <c r="B193" i="4"/>
  <c r="C193" i="4"/>
  <c r="D193" i="4"/>
  <c r="F193" i="4"/>
  <c r="G193" i="4"/>
  <c r="A194" i="4"/>
  <c r="B194" i="4"/>
  <c r="C194" i="4"/>
  <c r="D194" i="4"/>
  <c r="F194" i="4"/>
  <c r="G194" i="4"/>
  <c r="B195" i="4"/>
  <c r="A195" i="4" s="1"/>
  <c r="C195" i="4"/>
  <c r="D195" i="4"/>
  <c r="F195" i="4"/>
  <c r="G195" i="4"/>
  <c r="B196" i="4"/>
  <c r="A196" i="4" s="1"/>
  <c r="C196" i="4"/>
  <c r="D196" i="4"/>
  <c r="F196" i="4"/>
  <c r="G196" i="4"/>
  <c r="A197" i="4"/>
  <c r="B197" i="4"/>
  <c r="C197" i="4"/>
  <c r="D197" i="4"/>
  <c r="F197" i="4"/>
  <c r="G197" i="4"/>
  <c r="B198" i="4"/>
  <c r="A198" i="4" s="1"/>
  <c r="C198" i="4"/>
  <c r="D198" i="4"/>
  <c r="F198" i="4"/>
  <c r="G198" i="4"/>
  <c r="B199" i="4"/>
  <c r="A199" i="4" s="1"/>
  <c r="C199" i="4"/>
  <c r="D199" i="4"/>
  <c r="F199" i="4"/>
  <c r="G199" i="4"/>
  <c r="A200" i="4"/>
  <c r="B200" i="4"/>
  <c r="C200" i="4"/>
  <c r="D200" i="4"/>
  <c r="F200" i="4"/>
  <c r="G200" i="4"/>
  <c r="B201" i="4"/>
  <c r="A201" i="4" s="1"/>
  <c r="C201" i="4"/>
  <c r="D201" i="4"/>
  <c r="F201" i="4"/>
  <c r="G201" i="4"/>
  <c r="B202" i="4"/>
  <c r="A202" i="4" s="1"/>
  <c r="C202" i="4"/>
  <c r="D202" i="4"/>
  <c r="F202" i="4"/>
  <c r="G202" i="4"/>
  <c r="A203" i="4"/>
  <c r="B203" i="4"/>
  <c r="C203" i="4"/>
  <c r="D203" i="4"/>
  <c r="F203" i="4"/>
  <c r="G203" i="4"/>
  <c r="A204" i="4"/>
  <c r="B204" i="4"/>
  <c r="C204" i="4"/>
  <c r="D204" i="4"/>
  <c r="F204" i="4"/>
  <c r="G204" i="4"/>
  <c r="B205" i="4"/>
  <c r="A205" i="4" s="1"/>
  <c r="C205" i="4"/>
  <c r="D205" i="4"/>
  <c r="F205" i="4"/>
  <c r="G205" i="4"/>
  <c r="B206" i="4"/>
  <c r="A206" i="4" s="1"/>
  <c r="C206" i="4"/>
  <c r="D206" i="4"/>
  <c r="F206" i="4"/>
  <c r="G206" i="4"/>
  <c r="B207" i="4"/>
  <c r="A207" i="4" s="1"/>
  <c r="C207" i="4"/>
  <c r="D207" i="4"/>
  <c r="F207" i="4"/>
  <c r="G207" i="4"/>
  <c r="B208" i="4"/>
  <c r="A208" i="4" s="1"/>
  <c r="C208" i="4"/>
  <c r="D208" i="4"/>
  <c r="F208" i="4"/>
  <c r="G208" i="4"/>
  <c r="B209" i="4"/>
  <c r="A209" i="4" s="1"/>
  <c r="C209" i="4"/>
  <c r="D209" i="4"/>
  <c r="F209" i="4"/>
  <c r="G209" i="4"/>
  <c r="A210" i="4"/>
  <c r="B210" i="4"/>
  <c r="C210" i="4"/>
  <c r="D210" i="4"/>
  <c r="F210" i="4"/>
  <c r="G210" i="4"/>
  <c r="B211" i="4"/>
  <c r="A211" i="4" s="1"/>
  <c r="C211" i="4"/>
  <c r="D211" i="4"/>
  <c r="F211" i="4"/>
  <c r="G211" i="4"/>
  <c r="B212" i="4"/>
  <c r="A212" i="4" s="1"/>
  <c r="C212" i="4"/>
  <c r="D212" i="4"/>
  <c r="F212" i="4"/>
  <c r="G212" i="4"/>
  <c r="A213" i="4"/>
  <c r="B213" i="4"/>
  <c r="C213" i="4"/>
  <c r="D213" i="4"/>
  <c r="F213" i="4"/>
  <c r="G213" i="4"/>
  <c r="A214" i="4"/>
  <c r="B214" i="4"/>
  <c r="C214" i="4"/>
  <c r="D214" i="4"/>
  <c r="F214" i="4"/>
  <c r="G214" i="4"/>
  <c r="B215" i="4"/>
  <c r="A215" i="4" s="1"/>
  <c r="C215" i="4"/>
  <c r="D215" i="4"/>
  <c r="F215" i="4"/>
  <c r="G215" i="4"/>
  <c r="B216" i="4"/>
  <c r="A216" i="4" s="1"/>
  <c r="C216" i="4"/>
  <c r="D216" i="4"/>
  <c r="F216" i="4"/>
  <c r="G216" i="4"/>
  <c r="B217" i="4"/>
  <c r="A217" i="4" s="1"/>
  <c r="C217" i="4"/>
  <c r="D217" i="4"/>
  <c r="F217" i="4"/>
  <c r="G217" i="4"/>
  <c r="B218" i="4"/>
  <c r="A218" i="4" s="1"/>
  <c r="C218" i="4"/>
  <c r="D218" i="4"/>
  <c r="F218" i="4"/>
  <c r="G218" i="4"/>
  <c r="B219" i="4"/>
  <c r="A219" i="4" s="1"/>
  <c r="C219" i="4"/>
  <c r="D219" i="4"/>
  <c r="F219" i="4"/>
  <c r="G219" i="4"/>
  <c r="A220" i="4"/>
  <c r="B220" i="4"/>
  <c r="C220" i="4"/>
  <c r="D220" i="4"/>
  <c r="F220" i="4"/>
  <c r="G220" i="4"/>
  <c r="B221" i="4"/>
  <c r="A221" i="4" s="1"/>
  <c r="C221" i="4"/>
  <c r="D221" i="4"/>
  <c r="F221" i="4"/>
  <c r="G221" i="4"/>
  <c r="B222" i="4"/>
  <c r="A222" i="4" s="1"/>
  <c r="C222" i="4"/>
  <c r="D222" i="4"/>
  <c r="F222" i="4"/>
  <c r="G222" i="4"/>
  <c r="A223" i="4"/>
  <c r="B223" i="4"/>
  <c r="C223" i="4"/>
  <c r="D223" i="4"/>
  <c r="F223" i="4"/>
  <c r="G223" i="4"/>
  <c r="A224" i="4"/>
  <c r="B224" i="4"/>
  <c r="C224" i="4"/>
  <c r="D224" i="4"/>
  <c r="F224" i="4"/>
  <c r="G224" i="4"/>
  <c r="B225" i="4"/>
  <c r="A225" i="4" s="1"/>
  <c r="C225" i="4"/>
  <c r="D225" i="4"/>
  <c r="F225" i="4"/>
  <c r="G225" i="4"/>
  <c r="B226" i="4"/>
  <c r="A226" i="4" s="1"/>
  <c r="C226" i="4"/>
  <c r="D226" i="4"/>
  <c r="F226" i="4"/>
  <c r="G226" i="4"/>
  <c r="B227" i="4"/>
  <c r="A227" i="4" s="1"/>
  <c r="C227" i="4"/>
  <c r="D227" i="4"/>
  <c r="F227" i="4"/>
  <c r="G227" i="4"/>
  <c r="A3" i="6" l="1"/>
  <c r="B3" i="6"/>
  <c r="C3" i="6"/>
  <c r="A4" i="6"/>
  <c r="B4" i="6"/>
  <c r="C4" i="6"/>
  <c r="A5" i="6"/>
  <c r="B5" i="6"/>
  <c r="C5" i="6"/>
  <c r="A6" i="6"/>
  <c r="B6" i="6"/>
  <c r="C6" i="6"/>
  <c r="A7" i="6"/>
  <c r="B7" i="6"/>
  <c r="C7" i="6"/>
  <c r="A8" i="6"/>
  <c r="B8" i="6"/>
  <c r="C8" i="6"/>
  <c r="A9" i="6"/>
  <c r="B9" i="6"/>
  <c r="C9" i="6"/>
  <c r="A10" i="6"/>
  <c r="B10" i="6"/>
  <c r="C10" i="6"/>
  <c r="A11" i="6"/>
  <c r="B11" i="6"/>
  <c r="C11" i="6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A34" i="6"/>
  <c r="B34" i="6"/>
  <c r="C34" i="6"/>
  <c r="A35" i="6"/>
  <c r="B35" i="6"/>
  <c r="C35" i="6"/>
  <c r="A36" i="6"/>
  <c r="B36" i="6"/>
  <c r="C36" i="6"/>
  <c r="A37" i="6"/>
  <c r="B37" i="6"/>
  <c r="C37" i="6"/>
  <c r="A38" i="6"/>
  <c r="B38" i="6"/>
  <c r="C38" i="6"/>
  <c r="A39" i="6"/>
  <c r="B39" i="6"/>
  <c r="C39" i="6"/>
  <c r="A40" i="6"/>
  <c r="B40" i="6"/>
  <c r="C40" i="6"/>
  <c r="A41" i="6"/>
  <c r="B41" i="6"/>
  <c r="C41" i="6"/>
  <c r="A42" i="6"/>
  <c r="B42" i="6"/>
  <c r="C42" i="6"/>
  <c r="A43" i="6"/>
  <c r="B43" i="6"/>
  <c r="C43" i="6"/>
  <c r="A44" i="6"/>
  <c r="B44" i="6"/>
  <c r="C44" i="6"/>
  <c r="A45" i="6"/>
  <c r="B45" i="6"/>
  <c r="C45" i="6"/>
  <c r="A46" i="6"/>
  <c r="B46" i="6"/>
  <c r="C46" i="6"/>
  <c r="A47" i="6"/>
  <c r="B47" i="6"/>
  <c r="C47" i="6"/>
  <c r="A48" i="6"/>
  <c r="B48" i="6"/>
  <c r="C48" i="6"/>
  <c r="A49" i="6"/>
  <c r="B49" i="6"/>
  <c r="C49" i="6"/>
  <c r="A50" i="6"/>
  <c r="B50" i="6"/>
  <c r="C50" i="6"/>
  <c r="A51" i="6"/>
  <c r="B51" i="6"/>
  <c r="C51" i="6"/>
  <c r="A52" i="6"/>
  <c r="B52" i="6"/>
  <c r="C52" i="6"/>
  <c r="A53" i="6"/>
  <c r="B53" i="6"/>
  <c r="C53" i="6"/>
  <c r="A54" i="6"/>
  <c r="B54" i="6"/>
  <c r="C54" i="6"/>
  <c r="A55" i="6"/>
  <c r="B55" i="6"/>
  <c r="C55" i="6"/>
  <c r="A56" i="6"/>
  <c r="B56" i="6"/>
  <c r="C56" i="6"/>
  <c r="A57" i="6"/>
  <c r="B57" i="6"/>
  <c r="C57" i="6"/>
  <c r="A58" i="6"/>
  <c r="B58" i="6"/>
  <c r="C58" i="6"/>
  <c r="A59" i="6"/>
  <c r="B59" i="6"/>
  <c r="C59" i="6"/>
  <c r="A60" i="6"/>
  <c r="B60" i="6"/>
  <c r="C60" i="6"/>
  <c r="A61" i="6"/>
  <c r="B61" i="6"/>
  <c r="C61" i="6"/>
  <c r="A62" i="6"/>
  <c r="B62" i="6"/>
  <c r="C62" i="6"/>
  <c r="A63" i="6"/>
  <c r="B63" i="6"/>
  <c r="C63" i="6"/>
  <c r="A64" i="6"/>
  <c r="B64" i="6"/>
  <c r="C64" i="6"/>
  <c r="A65" i="6"/>
  <c r="B65" i="6"/>
  <c r="C65" i="6"/>
  <c r="A66" i="6"/>
  <c r="B66" i="6"/>
  <c r="C66" i="6"/>
  <c r="A67" i="6"/>
  <c r="B67" i="6"/>
  <c r="C67" i="6"/>
  <c r="A68" i="6"/>
  <c r="B68" i="6"/>
  <c r="C68" i="6"/>
  <c r="A69" i="6"/>
  <c r="B69" i="6"/>
  <c r="C69" i="6"/>
  <c r="A70" i="6"/>
  <c r="B70" i="6"/>
  <c r="C70" i="6"/>
  <c r="A71" i="6"/>
  <c r="B71" i="6"/>
  <c r="C71" i="6"/>
  <c r="A72" i="6"/>
  <c r="B72" i="6"/>
  <c r="C72" i="6"/>
  <c r="A73" i="6"/>
  <c r="B73" i="6"/>
  <c r="C73" i="6"/>
  <c r="A74" i="6"/>
  <c r="B74" i="6"/>
  <c r="C74" i="6"/>
  <c r="A75" i="6"/>
  <c r="B75" i="6"/>
  <c r="C75" i="6"/>
  <c r="A76" i="6"/>
  <c r="B76" i="6"/>
  <c r="C76" i="6"/>
  <c r="A77" i="6"/>
  <c r="B77" i="6"/>
  <c r="C77" i="6"/>
  <c r="A78" i="6"/>
  <c r="B78" i="6"/>
  <c r="C78" i="6"/>
  <c r="A79" i="6"/>
  <c r="B79" i="6"/>
  <c r="C79" i="6"/>
  <c r="A80" i="6"/>
  <c r="B80" i="6"/>
  <c r="C80" i="6"/>
  <c r="A81" i="6"/>
  <c r="B81" i="6"/>
  <c r="C81" i="6"/>
  <c r="A82" i="6"/>
  <c r="B82" i="6"/>
  <c r="C82" i="6"/>
  <c r="A83" i="6"/>
  <c r="B83" i="6"/>
  <c r="C83" i="6"/>
  <c r="A84" i="6"/>
  <c r="B84" i="6"/>
  <c r="C84" i="6"/>
  <c r="A85" i="6"/>
  <c r="B85" i="6"/>
  <c r="C85" i="6"/>
  <c r="A86" i="6"/>
  <c r="B86" i="6"/>
  <c r="C86" i="6"/>
  <c r="A87" i="6"/>
  <c r="B87" i="6"/>
  <c r="C87" i="6"/>
  <c r="A88" i="6"/>
  <c r="B88" i="6"/>
  <c r="C88" i="6"/>
  <c r="A89" i="6"/>
  <c r="B89" i="6"/>
  <c r="C89" i="6"/>
  <c r="A90" i="6"/>
  <c r="B90" i="6"/>
  <c r="C90" i="6"/>
  <c r="A91" i="6"/>
  <c r="B91" i="6"/>
  <c r="C91" i="6"/>
  <c r="A92" i="6"/>
  <c r="B92" i="6"/>
  <c r="C92" i="6"/>
  <c r="A93" i="6"/>
  <c r="B93" i="6"/>
  <c r="C93" i="6"/>
  <c r="A94" i="6"/>
  <c r="B94" i="6"/>
  <c r="C94" i="6"/>
  <c r="A95" i="6"/>
  <c r="B95" i="6"/>
  <c r="C95" i="6"/>
  <c r="A96" i="6"/>
  <c r="B96" i="6"/>
  <c r="C96" i="6"/>
  <c r="A97" i="6"/>
  <c r="B97" i="6"/>
  <c r="C97" i="6"/>
  <c r="A98" i="6"/>
  <c r="B98" i="6"/>
  <c r="C98" i="6"/>
  <c r="A99" i="6"/>
  <c r="B99" i="6"/>
  <c r="C99" i="6"/>
  <c r="A100" i="6"/>
  <c r="B100" i="6"/>
  <c r="C100" i="6"/>
  <c r="A101" i="6"/>
  <c r="B101" i="6"/>
  <c r="C101" i="6"/>
  <c r="A102" i="6"/>
  <c r="B102" i="6"/>
  <c r="C102" i="6"/>
  <c r="A103" i="6"/>
  <c r="B103" i="6"/>
  <c r="C103" i="6"/>
  <c r="A104" i="6"/>
  <c r="B104" i="6"/>
  <c r="C104" i="6"/>
  <c r="A105" i="6"/>
  <c r="B105" i="6"/>
  <c r="C105" i="6"/>
  <c r="A106" i="6"/>
  <c r="B106" i="6"/>
  <c r="C106" i="6"/>
  <c r="A107" i="6"/>
  <c r="B107" i="6"/>
  <c r="C107" i="6"/>
  <c r="A108" i="6"/>
  <c r="B108" i="6"/>
  <c r="C108" i="6"/>
  <c r="A109" i="6"/>
  <c r="B109" i="6"/>
  <c r="C109" i="6"/>
  <c r="A110" i="6"/>
  <c r="B110" i="6"/>
  <c r="C110" i="6"/>
  <c r="A111" i="6"/>
  <c r="B111" i="6"/>
  <c r="C111" i="6"/>
  <c r="A112" i="6"/>
  <c r="B112" i="6"/>
  <c r="C112" i="6"/>
  <c r="A113" i="6"/>
  <c r="B113" i="6"/>
  <c r="C113" i="6"/>
  <c r="A114" i="6"/>
  <c r="B114" i="6"/>
  <c r="C114" i="6"/>
  <c r="A115" i="6"/>
  <c r="B115" i="6"/>
  <c r="C115" i="6"/>
  <c r="A116" i="6"/>
  <c r="B116" i="6"/>
  <c r="C116" i="6"/>
  <c r="A117" i="6"/>
  <c r="B117" i="6"/>
  <c r="C117" i="6"/>
  <c r="A118" i="6"/>
  <c r="B118" i="6"/>
  <c r="C118" i="6"/>
  <c r="A119" i="6"/>
  <c r="B119" i="6"/>
  <c r="C119" i="6"/>
  <c r="A120" i="6"/>
  <c r="B120" i="6"/>
  <c r="C120" i="6"/>
  <c r="A121" i="6"/>
  <c r="B121" i="6"/>
  <c r="C121" i="6"/>
  <c r="A122" i="6"/>
  <c r="B122" i="6"/>
  <c r="C122" i="6"/>
  <c r="A123" i="6"/>
  <c r="B123" i="6"/>
  <c r="C123" i="6"/>
  <c r="A124" i="6"/>
  <c r="B124" i="6"/>
  <c r="C124" i="6"/>
  <c r="A125" i="6"/>
  <c r="B125" i="6"/>
  <c r="C125" i="6"/>
  <c r="A126" i="6"/>
  <c r="B126" i="6"/>
  <c r="C126" i="6"/>
  <c r="A127" i="6"/>
  <c r="B127" i="6"/>
  <c r="C127" i="6"/>
  <c r="A128" i="6"/>
  <c r="B128" i="6"/>
  <c r="C128" i="6"/>
  <c r="A129" i="6"/>
  <c r="B129" i="6"/>
  <c r="C129" i="6"/>
  <c r="A130" i="6"/>
  <c r="B130" i="6"/>
  <c r="C130" i="6"/>
  <c r="A131" i="6"/>
  <c r="B131" i="6"/>
  <c r="C131" i="6"/>
  <c r="A132" i="6"/>
  <c r="B132" i="6"/>
  <c r="C132" i="6"/>
  <c r="A133" i="6"/>
  <c r="B133" i="6"/>
  <c r="C133" i="6"/>
  <c r="A134" i="6"/>
  <c r="B134" i="6"/>
  <c r="C134" i="6"/>
  <c r="A135" i="6"/>
  <c r="B135" i="6"/>
  <c r="C135" i="6"/>
  <c r="A136" i="6"/>
  <c r="B136" i="6"/>
  <c r="C136" i="6"/>
  <c r="A137" i="6"/>
  <c r="B137" i="6"/>
  <c r="C137" i="6"/>
  <c r="A138" i="6"/>
  <c r="B138" i="6"/>
  <c r="C138" i="6"/>
  <c r="A139" i="6"/>
  <c r="B139" i="6"/>
  <c r="C139" i="6"/>
  <c r="A140" i="6"/>
  <c r="B140" i="6"/>
  <c r="C140" i="6"/>
  <c r="A141" i="6"/>
  <c r="B141" i="6"/>
  <c r="C141" i="6"/>
  <c r="A142" i="6"/>
  <c r="B142" i="6"/>
  <c r="C142" i="6"/>
  <c r="A143" i="6"/>
  <c r="B143" i="6"/>
  <c r="C143" i="6"/>
  <c r="A144" i="6"/>
  <c r="B144" i="6"/>
  <c r="C144" i="6"/>
  <c r="A145" i="6"/>
  <c r="B145" i="6"/>
  <c r="C145" i="6"/>
  <c r="A146" i="6"/>
  <c r="B146" i="6"/>
  <c r="C146" i="6"/>
  <c r="A147" i="6"/>
  <c r="B147" i="6"/>
  <c r="C147" i="6"/>
  <c r="A148" i="6"/>
  <c r="B148" i="6"/>
  <c r="C148" i="6"/>
  <c r="A149" i="6"/>
  <c r="B149" i="6"/>
  <c r="C149" i="6"/>
  <c r="A150" i="6"/>
  <c r="B150" i="6"/>
  <c r="C150" i="6"/>
  <c r="A151" i="6"/>
  <c r="B151" i="6"/>
  <c r="C151" i="6"/>
  <c r="A152" i="6"/>
  <c r="B152" i="6"/>
  <c r="C152" i="6"/>
  <c r="A153" i="6"/>
  <c r="B153" i="6"/>
  <c r="C153" i="6"/>
  <c r="A154" i="6"/>
  <c r="B154" i="6"/>
  <c r="C154" i="6"/>
  <c r="A155" i="6"/>
  <c r="B155" i="6"/>
  <c r="C155" i="6"/>
  <c r="A156" i="6"/>
  <c r="B156" i="6"/>
  <c r="C156" i="6"/>
  <c r="A157" i="6"/>
  <c r="B157" i="6"/>
  <c r="C157" i="6"/>
  <c r="A158" i="6"/>
  <c r="B158" i="6"/>
  <c r="C158" i="6"/>
  <c r="A159" i="6"/>
  <c r="B159" i="6"/>
  <c r="C159" i="6"/>
  <c r="A160" i="6"/>
  <c r="B160" i="6"/>
  <c r="C160" i="6"/>
  <c r="A161" i="6"/>
  <c r="B161" i="6"/>
  <c r="C161" i="6"/>
  <c r="A162" i="6"/>
  <c r="B162" i="6"/>
  <c r="C162" i="6"/>
  <c r="A163" i="6"/>
  <c r="B163" i="6"/>
  <c r="C163" i="6"/>
  <c r="A164" i="6"/>
  <c r="B164" i="6"/>
  <c r="C164" i="6"/>
  <c r="A165" i="6"/>
  <c r="B165" i="6"/>
  <c r="C165" i="6"/>
  <c r="A166" i="6"/>
  <c r="B166" i="6"/>
  <c r="C166" i="6"/>
  <c r="A167" i="6"/>
  <c r="B167" i="6"/>
  <c r="C167" i="6"/>
  <c r="A168" i="6"/>
  <c r="B168" i="6"/>
  <c r="C168" i="6"/>
  <c r="A169" i="6"/>
  <c r="B169" i="6"/>
  <c r="C169" i="6"/>
  <c r="A170" i="6"/>
  <c r="B170" i="6"/>
  <c r="C170" i="6"/>
  <c r="A171" i="6"/>
  <c r="B171" i="6"/>
  <c r="C171" i="6"/>
  <c r="A172" i="6"/>
  <c r="B172" i="6"/>
  <c r="C172" i="6"/>
  <c r="A173" i="6"/>
  <c r="B173" i="6"/>
  <c r="C173" i="6"/>
  <c r="A174" i="6"/>
  <c r="B174" i="6"/>
  <c r="C174" i="6"/>
  <c r="A175" i="6"/>
  <c r="B175" i="6"/>
  <c r="C175" i="6"/>
  <c r="A176" i="6"/>
  <c r="B176" i="6"/>
  <c r="C176" i="6"/>
  <c r="A177" i="6"/>
  <c r="B177" i="6"/>
  <c r="C177" i="6"/>
  <c r="A178" i="6"/>
  <c r="B178" i="6"/>
  <c r="C178" i="6"/>
  <c r="A179" i="6"/>
  <c r="B179" i="6"/>
  <c r="C179" i="6"/>
  <c r="A180" i="6"/>
  <c r="B180" i="6"/>
  <c r="C180" i="6"/>
  <c r="A181" i="6"/>
  <c r="B181" i="6"/>
  <c r="C181" i="6"/>
  <c r="A182" i="6"/>
  <c r="B182" i="6"/>
  <c r="C182" i="6"/>
  <c r="A183" i="6"/>
  <c r="B183" i="6"/>
  <c r="C183" i="6"/>
  <c r="A184" i="6"/>
  <c r="B184" i="6"/>
  <c r="C184" i="6"/>
  <c r="A185" i="6"/>
  <c r="B185" i="6"/>
  <c r="C185" i="6"/>
  <c r="A186" i="6"/>
  <c r="B186" i="6"/>
  <c r="C186" i="6"/>
  <c r="A187" i="6"/>
  <c r="B187" i="6"/>
  <c r="C187" i="6"/>
  <c r="A188" i="6"/>
  <c r="B188" i="6"/>
  <c r="C188" i="6"/>
  <c r="A189" i="6"/>
  <c r="B189" i="6"/>
  <c r="C189" i="6"/>
  <c r="A190" i="6"/>
  <c r="B190" i="6"/>
  <c r="C190" i="6"/>
  <c r="A191" i="6"/>
  <c r="B191" i="6"/>
  <c r="C191" i="6"/>
  <c r="A192" i="6"/>
  <c r="B192" i="6"/>
  <c r="C192" i="6"/>
  <c r="A193" i="6"/>
  <c r="B193" i="6"/>
  <c r="C193" i="6"/>
  <c r="A194" i="6"/>
  <c r="B194" i="6"/>
  <c r="C194" i="6"/>
  <c r="A195" i="6"/>
  <c r="B195" i="6"/>
  <c r="C195" i="6"/>
  <c r="A196" i="6"/>
  <c r="B196" i="6"/>
  <c r="C196" i="6"/>
  <c r="A197" i="6"/>
  <c r="B197" i="6"/>
  <c r="C197" i="6"/>
  <c r="A198" i="6"/>
  <c r="B198" i="6"/>
  <c r="C198" i="6"/>
  <c r="A199" i="6"/>
  <c r="B199" i="6"/>
  <c r="C199" i="6"/>
  <c r="A200" i="6"/>
  <c r="B200" i="6"/>
  <c r="C200" i="6"/>
  <c r="A201" i="6"/>
  <c r="B201" i="6"/>
  <c r="C201" i="6"/>
  <c r="A202" i="6"/>
  <c r="B202" i="6"/>
  <c r="C202" i="6"/>
  <c r="A203" i="6"/>
  <c r="B203" i="6"/>
  <c r="C203" i="6"/>
  <c r="A204" i="6"/>
  <c r="B204" i="6"/>
  <c r="C204" i="6"/>
  <c r="A205" i="6"/>
  <c r="B205" i="6"/>
  <c r="C205" i="6"/>
  <c r="A206" i="6"/>
  <c r="B206" i="6"/>
  <c r="C206" i="6"/>
  <c r="A207" i="6"/>
  <c r="B207" i="6"/>
  <c r="C207" i="6"/>
  <c r="A208" i="6"/>
  <c r="B208" i="6"/>
  <c r="C208" i="6"/>
  <c r="A209" i="6"/>
  <c r="B209" i="6"/>
  <c r="C209" i="6"/>
  <c r="A210" i="6"/>
  <c r="B210" i="6"/>
  <c r="C210" i="6"/>
  <c r="A211" i="6"/>
  <c r="B211" i="6"/>
  <c r="C211" i="6"/>
  <c r="A212" i="6"/>
  <c r="B212" i="6"/>
  <c r="C212" i="6"/>
  <c r="A213" i="6"/>
  <c r="B213" i="6"/>
  <c r="C213" i="6"/>
  <c r="A214" i="6"/>
  <c r="B214" i="6"/>
  <c r="C214" i="6"/>
  <c r="A215" i="6"/>
  <c r="B215" i="6"/>
  <c r="C215" i="6"/>
  <c r="A216" i="6"/>
  <c r="B216" i="6"/>
  <c r="C216" i="6"/>
  <c r="A217" i="6"/>
  <c r="B217" i="6"/>
  <c r="C217" i="6"/>
  <c r="A218" i="6"/>
  <c r="B218" i="6"/>
  <c r="C218" i="6"/>
  <c r="A219" i="6"/>
  <c r="B219" i="6"/>
  <c r="C219" i="6"/>
  <c r="A220" i="6"/>
  <c r="B220" i="6"/>
  <c r="C220" i="6"/>
  <c r="A221" i="6"/>
  <c r="B221" i="6"/>
  <c r="C221" i="6"/>
  <c r="A222" i="6"/>
  <c r="B222" i="6"/>
  <c r="C222" i="6"/>
  <c r="A223" i="6"/>
  <c r="B223" i="6"/>
  <c r="C223" i="6"/>
  <c r="A224" i="6"/>
  <c r="B224" i="6"/>
  <c r="C224" i="6"/>
  <c r="A225" i="6"/>
  <c r="B225" i="6"/>
  <c r="C225" i="6"/>
  <c r="A3" i="5"/>
  <c r="E3" i="5" s="1"/>
  <c r="B3" i="5"/>
  <c r="C3" i="5"/>
  <c r="A4" i="5"/>
  <c r="E4" i="5" s="1"/>
  <c r="B4" i="5"/>
  <c r="C4" i="5"/>
  <c r="A5" i="5"/>
  <c r="B5" i="5"/>
  <c r="C5" i="5"/>
  <c r="E5" i="5"/>
  <c r="A6" i="5"/>
  <c r="B6" i="5"/>
  <c r="C6" i="5"/>
  <c r="E6" i="5"/>
  <c r="A7" i="5"/>
  <c r="B7" i="5"/>
  <c r="C7" i="5"/>
  <c r="E7" i="5"/>
  <c r="A8" i="5"/>
  <c r="B8" i="5"/>
  <c r="C8" i="5"/>
  <c r="E8" i="5"/>
  <c r="A9" i="5"/>
  <c r="E9" i="5" s="1"/>
  <c r="B9" i="5"/>
  <c r="C9" i="5"/>
  <c r="A10" i="5"/>
  <c r="B10" i="5"/>
  <c r="C10" i="5"/>
  <c r="E10" i="5"/>
  <c r="A11" i="5"/>
  <c r="B11" i="5"/>
  <c r="C11" i="5"/>
  <c r="E11" i="5"/>
  <c r="A12" i="5"/>
  <c r="B12" i="5"/>
  <c r="C12" i="5"/>
  <c r="E12" i="5"/>
  <c r="A13" i="5"/>
  <c r="E13" i="5" s="1"/>
  <c r="B13" i="5"/>
  <c r="C13" i="5"/>
  <c r="A14" i="5"/>
  <c r="E14" i="5" s="1"/>
  <c r="B14" i="5"/>
  <c r="C14" i="5"/>
  <c r="A15" i="5"/>
  <c r="B15" i="5"/>
  <c r="C15" i="5"/>
  <c r="E15" i="5"/>
  <c r="A16" i="5"/>
  <c r="B16" i="5"/>
  <c r="C16" i="5"/>
  <c r="E16" i="5"/>
  <c r="A17" i="5"/>
  <c r="B17" i="5"/>
  <c r="C17" i="5"/>
  <c r="E17" i="5"/>
  <c r="A18" i="5"/>
  <c r="E18" i="5" s="1"/>
  <c r="B18" i="5"/>
  <c r="C18" i="5"/>
  <c r="A19" i="5"/>
  <c r="E19" i="5" s="1"/>
  <c r="B19" i="5"/>
  <c r="C19" i="5"/>
  <c r="A20" i="5"/>
  <c r="B20" i="5"/>
  <c r="C20" i="5"/>
  <c r="E20" i="5"/>
  <c r="A21" i="5"/>
  <c r="B21" i="5"/>
  <c r="C21" i="5"/>
  <c r="E21" i="5"/>
  <c r="A22" i="5"/>
  <c r="B22" i="5"/>
  <c r="C22" i="5"/>
  <c r="E22" i="5"/>
  <c r="A23" i="5"/>
  <c r="E23" i="5" s="1"/>
  <c r="B23" i="5"/>
  <c r="C23" i="5"/>
  <c r="A24" i="5"/>
  <c r="E24" i="5" s="1"/>
  <c r="B24" i="5"/>
  <c r="C24" i="5"/>
  <c r="A25" i="5"/>
  <c r="B25" i="5"/>
  <c r="C25" i="5"/>
  <c r="E25" i="5"/>
  <c r="A26" i="5"/>
  <c r="B26" i="5"/>
  <c r="C26" i="5"/>
  <c r="E26" i="5"/>
  <c r="A27" i="5"/>
  <c r="B27" i="5"/>
  <c r="C27" i="5"/>
  <c r="E27" i="5"/>
  <c r="A28" i="5"/>
  <c r="E28" i="5" s="1"/>
  <c r="B28" i="5"/>
  <c r="C28" i="5"/>
  <c r="A29" i="5"/>
  <c r="E29" i="5" s="1"/>
  <c r="B29" i="5"/>
  <c r="C29" i="5"/>
  <c r="A30" i="5"/>
  <c r="B30" i="5"/>
  <c r="C30" i="5"/>
  <c r="E30" i="5"/>
  <c r="A31" i="5"/>
  <c r="B31" i="5"/>
  <c r="C31" i="5"/>
  <c r="E31" i="5"/>
  <c r="A32" i="5"/>
  <c r="B32" i="5"/>
  <c r="C32" i="5"/>
  <c r="E32" i="5"/>
  <c r="A33" i="5"/>
  <c r="E33" i="5" s="1"/>
  <c r="B33" i="5"/>
  <c r="C33" i="5"/>
  <c r="A34" i="5"/>
  <c r="E34" i="5" s="1"/>
  <c r="B34" i="5"/>
  <c r="C34" i="5"/>
  <c r="A35" i="5"/>
  <c r="B35" i="5"/>
  <c r="C35" i="5"/>
  <c r="E35" i="5"/>
  <c r="A36" i="5"/>
  <c r="B36" i="5"/>
  <c r="C36" i="5"/>
  <c r="E36" i="5"/>
  <c r="A37" i="5"/>
  <c r="B37" i="5"/>
  <c r="C37" i="5"/>
  <c r="E37" i="5"/>
  <c r="A38" i="5"/>
  <c r="E38" i="5" s="1"/>
  <c r="B38" i="5"/>
  <c r="C38" i="5"/>
  <c r="A39" i="5"/>
  <c r="E39" i="5" s="1"/>
  <c r="B39" i="5"/>
  <c r="C39" i="5"/>
  <c r="A40" i="5"/>
  <c r="B40" i="5"/>
  <c r="C40" i="5"/>
  <c r="E40" i="5"/>
  <c r="A41" i="5"/>
  <c r="B41" i="5"/>
  <c r="C41" i="5"/>
  <c r="E41" i="5"/>
  <c r="A42" i="5"/>
  <c r="B42" i="5"/>
  <c r="C42" i="5"/>
  <c r="E42" i="5"/>
  <c r="A43" i="5"/>
  <c r="E43" i="5" s="1"/>
  <c r="B43" i="5"/>
  <c r="C43" i="5"/>
  <c r="A44" i="5"/>
  <c r="E44" i="5" s="1"/>
  <c r="B44" i="5"/>
  <c r="C44" i="5"/>
  <c r="A45" i="5"/>
  <c r="B45" i="5"/>
  <c r="C45" i="5"/>
  <c r="E45" i="5"/>
  <c r="A46" i="5"/>
  <c r="B46" i="5"/>
  <c r="C46" i="5"/>
  <c r="E46" i="5"/>
  <c r="A47" i="5"/>
  <c r="B47" i="5"/>
  <c r="C47" i="5"/>
  <c r="E47" i="5"/>
  <c r="A48" i="5"/>
  <c r="E48" i="5" s="1"/>
  <c r="B48" i="5"/>
  <c r="C48" i="5"/>
  <c r="A49" i="5"/>
  <c r="E49" i="5" s="1"/>
  <c r="B49" i="5"/>
  <c r="C49" i="5"/>
  <c r="A50" i="5"/>
  <c r="B50" i="5"/>
  <c r="C50" i="5"/>
  <c r="E50" i="5"/>
  <c r="A51" i="5"/>
  <c r="B51" i="5"/>
  <c r="C51" i="5"/>
  <c r="E51" i="5"/>
  <c r="A52" i="5"/>
  <c r="B52" i="5"/>
  <c r="C52" i="5"/>
  <c r="E52" i="5"/>
  <c r="A53" i="5"/>
  <c r="E53" i="5" s="1"/>
  <c r="B53" i="5"/>
  <c r="C53" i="5"/>
  <c r="A54" i="5"/>
  <c r="E54" i="5" s="1"/>
  <c r="B54" i="5"/>
  <c r="C54" i="5"/>
  <c r="A55" i="5"/>
  <c r="B55" i="5"/>
  <c r="C55" i="5"/>
  <c r="E55" i="5"/>
  <c r="A56" i="5"/>
  <c r="B56" i="5"/>
  <c r="C56" i="5"/>
  <c r="E56" i="5"/>
  <c r="A57" i="5"/>
  <c r="B57" i="5"/>
  <c r="C57" i="5"/>
  <c r="E57" i="5"/>
  <c r="A58" i="5"/>
  <c r="E58" i="5" s="1"/>
  <c r="B58" i="5"/>
  <c r="C58" i="5"/>
  <c r="A59" i="5"/>
  <c r="E59" i="5" s="1"/>
  <c r="B59" i="5"/>
  <c r="C59" i="5"/>
  <c r="A60" i="5"/>
  <c r="B60" i="5"/>
  <c r="C60" i="5"/>
  <c r="E60" i="5"/>
  <c r="A61" i="5"/>
  <c r="B61" i="5"/>
  <c r="C61" i="5"/>
  <c r="E61" i="5"/>
  <c r="A62" i="5"/>
  <c r="B62" i="5"/>
  <c r="C62" i="5"/>
  <c r="E62" i="5"/>
  <c r="A63" i="5"/>
  <c r="E63" i="5" s="1"/>
  <c r="B63" i="5"/>
  <c r="C63" i="5"/>
  <c r="A64" i="5"/>
  <c r="E64" i="5" s="1"/>
  <c r="B64" i="5"/>
  <c r="C64" i="5"/>
  <c r="A65" i="5"/>
  <c r="B65" i="5"/>
  <c r="C65" i="5"/>
  <c r="E65" i="5"/>
  <c r="A66" i="5"/>
  <c r="B66" i="5"/>
  <c r="C66" i="5"/>
  <c r="E66" i="5"/>
  <c r="A67" i="5"/>
  <c r="B67" i="5"/>
  <c r="C67" i="5"/>
  <c r="E67" i="5"/>
  <c r="A68" i="5"/>
  <c r="E68" i="5" s="1"/>
  <c r="B68" i="5"/>
  <c r="C68" i="5"/>
  <c r="A69" i="5"/>
  <c r="E69" i="5" s="1"/>
  <c r="B69" i="5"/>
  <c r="C69" i="5"/>
  <c r="A70" i="5"/>
  <c r="B70" i="5"/>
  <c r="C70" i="5"/>
  <c r="E70" i="5"/>
  <c r="A71" i="5"/>
  <c r="B71" i="5"/>
  <c r="C71" i="5"/>
  <c r="E71" i="5"/>
  <c r="A72" i="5"/>
  <c r="B72" i="5"/>
  <c r="C72" i="5"/>
  <c r="E72" i="5"/>
  <c r="A73" i="5"/>
  <c r="E73" i="5" s="1"/>
  <c r="B73" i="5"/>
  <c r="C73" i="5"/>
  <c r="A74" i="5"/>
  <c r="E74" i="5" s="1"/>
  <c r="B74" i="5"/>
  <c r="C74" i="5"/>
  <c r="A75" i="5"/>
  <c r="B75" i="5"/>
  <c r="C75" i="5"/>
  <c r="E75" i="5"/>
  <c r="A76" i="5"/>
  <c r="B76" i="5"/>
  <c r="C76" i="5"/>
  <c r="E76" i="5"/>
  <c r="A77" i="5"/>
  <c r="B77" i="5"/>
  <c r="C77" i="5"/>
  <c r="E77" i="5"/>
  <c r="A78" i="5"/>
  <c r="E78" i="5" s="1"/>
  <c r="B78" i="5"/>
  <c r="C78" i="5"/>
  <c r="A79" i="5"/>
  <c r="E79" i="5" s="1"/>
  <c r="B79" i="5"/>
  <c r="C79" i="5"/>
  <c r="A80" i="5"/>
  <c r="B80" i="5"/>
  <c r="C80" i="5"/>
  <c r="E80" i="5"/>
  <c r="A81" i="5"/>
  <c r="B81" i="5"/>
  <c r="C81" i="5"/>
  <c r="E81" i="5"/>
  <c r="A82" i="5"/>
  <c r="B82" i="5"/>
  <c r="C82" i="5"/>
  <c r="E82" i="5"/>
  <c r="A83" i="5"/>
  <c r="E83" i="5" s="1"/>
  <c r="B83" i="5"/>
  <c r="C83" i="5"/>
  <c r="A84" i="5"/>
  <c r="E84" i="5" s="1"/>
  <c r="B84" i="5"/>
  <c r="C84" i="5"/>
  <c r="A85" i="5"/>
  <c r="B85" i="5"/>
  <c r="C85" i="5"/>
  <c r="E85" i="5"/>
  <c r="A86" i="5"/>
  <c r="B86" i="5"/>
  <c r="C86" i="5"/>
  <c r="E86" i="5"/>
  <c r="A87" i="5"/>
  <c r="B87" i="5"/>
  <c r="C87" i="5"/>
  <c r="E87" i="5"/>
  <c r="A88" i="5"/>
  <c r="E88" i="5" s="1"/>
  <c r="B88" i="5"/>
  <c r="C88" i="5"/>
  <c r="A89" i="5"/>
  <c r="E89" i="5" s="1"/>
  <c r="B89" i="5"/>
  <c r="C89" i="5"/>
  <c r="A90" i="5"/>
  <c r="B90" i="5"/>
  <c r="C90" i="5"/>
  <c r="E90" i="5"/>
  <c r="A91" i="5"/>
  <c r="B91" i="5"/>
  <c r="C91" i="5"/>
  <c r="E91" i="5"/>
  <c r="A92" i="5"/>
  <c r="B92" i="5"/>
  <c r="C92" i="5"/>
  <c r="E92" i="5"/>
  <c r="A93" i="5"/>
  <c r="E93" i="5" s="1"/>
  <c r="B93" i="5"/>
  <c r="C93" i="5"/>
  <c r="A94" i="5"/>
  <c r="E94" i="5" s="1"/>
  <c r="B94" i="5"/>
  <c r="C94" i="5"/>
  <c r="A95" i="5"/>
  <c r="B95" i="5"/>
  <c r="C95" i="5"/>
  <c r="E95" i="5"/>
  <c r="A96" i="5"/>
  <c r="B96" i="5"/>
  <c r="C96" i="5"/>
  <c r="E96" i="5"/>
  <c r="A97" i="5"/>
  <c r="B97" i="5"/>
  <c r="C97" i="5"/>
  <c r="E97" i="5"/>
  <c r="A98" i="5"/>
  <c r="E98" i="5" s="1"/>
  <c r="B98" i="5"/>
  <c r="C98" i="5"/>
  <c r="A99" i="5"/>
  <c r="E99" i="5" s="1"/>
  <c r="B99" i="5"/>
  <c r="C99" i="5"/>
  <c r="A100" i="5"/>
  <c r="B100" i="5"/>
  <c r="C100" i="5"/>
  <c r="E100" i="5"/>
  <c r="A101" i="5"/>
  <c r="B101" i="5"/>
  <c r="C101" i="5"/>
  <c r="E101" i="5"/>
  <c r="A102" i="5"/>
  <c r="B102" i="5"/>
  <c r="C102" i="5"/>
  <c r="E102" i="5"/>
  <c r="A103" i="5"/>
  <c r="E103" i="5" s="1"/>
  <c r="B103" i="5"/>
  <c r="C103" i="5"/>
  <c r="A104" i="5"/>
  <c r="E104" i="5" s="1"/>
  <c r="B104" i="5"/>
  <c r="C104" i="5"/>
  <c r="A105" i="5"/>
  <c r="B105" i="5"/>
  <c r="C105" i="5"/>
  <c r="E105" i="5"/>
  <c r="A106" i="5"/>
  <c r="B106" i="5"/>
  <c r="C106" i="5"/>
  <c r="E106" i="5"/>
  <c r="A107" i="5"/>
  <c r="B107" i="5"/>
  <c r="C107" i="5"/>
  <c r="E107" i="5"/>
  <c r="A108" i="5"/>
  <c r="E108" i="5" s="1"/>
  <c r="B108" i="5"/>
  <c r="C108" i="5"/>
  <c r="A109" i="5"/>
  <c r="E109" i="5" s="1"/>
  <c r="B109" i="5"/>
  <c r="C109" i="5"/>
  <c r="A110" i="5"/>
  <c r="B110" i="5"/>
  <c r="C110" i="5"/>
  <c r="E110" i="5"/>
  <c r="A111" i="5"/>
  <c r="B111" i="5"/>
  <c r="C111" i="5"/>
  <c r="E111" i="5"/>
  <c r="A112" i="5"/>
  <c r="B112" i="5"/>
  <c r="C112" i="5"/>
  <c r="E112" i="5"/>
  <c r="A113" i="5"/>
  <c r="E113" i="5" s="1"/>
  <c r="B113" i="5"/>
  <c r="C113" i="5"/>
  <c r="A114" i="5"/>
  <c r="E114" i="5" s="1"/>
  <c r="B114" i="5"/>
  <c r="C114" i="5"/>
  <c r="A115" i="5"/>
  <c r="B115" i="5"/>
  <c r="C115" i="5"/>
  <c r="E115" i="5"/>
  <c r="A116" i="5"/>
  <c r="B116" i="5"/>
  <c r="C116" i="5"/>
  <c r="E116" i="5"/>
  <c r="A117" i="5"/>
  <c r="B117" i="5"/>
  <c r="C117" i="5"/>
  <c r="E117" i="5"/>
  <c r="A118" i="5"/>
  <c r="E118" i="5" s="1"/>
  <c r="B118" i="5"/>
  <c r="C118" i="5"/>
  <c r="A119" i="5"/>
  <c r="E119" i="5" s="1"/>
  <c r="B119" i="5"/>
  <c r="C119" i="5"/>
  <c r="A120" i="5"/>
  <c r="B120" i="5"/>
  <c r="C120" i="5"/>
  <c r="E120" i="5"/>
  <c r="A121" i="5"/>
  <c r="B121" i="5"/>
  <c r="C121" i="5"/>
  <c r="E121" i="5"/>
  <c r="A122" i="5"/>
  <c r="B122" i="5"/>
  <c r="C122" i="5"/>
  <c r="E122" i="5"/>
  <c r="A123" i="5"/>
  <c r="E123" i="5" s="1"/>
  <c r="B123" i="5"/>
  <c r="C123" i="5"/>
  <c r="A124" i="5"/>
  <c r="E124" i="5" s="1"/>
  <c r="B124" i="5"/>
  <c r="C124" i="5"/>
  <c r="A125" i="5"/>
  <c r="B125" i="5"/>
  <c r="C125" i="5"/>
  <c r="E125" i="5"/>
  <c r="A126" i="5"/>
  <c r="B126" i="5"/>
  <c r="C126" i="5"/>
  <c r="E126" i="5"/>
  <c r="A127" i="5"/>
  <c r="B127" i="5"/>
  <c r="C127" i="5"/>
  <c r="E127" i="5"/>
  <c r="A128" i="5"/>
  <c r="E128" i="5" s="1"/>
  <c r="B128" i="5"/>
  <c r="C128" i="5"/>
  <c r="A129" i="5"/>
  <c r="E129" i="5" s="1"/>
  <c r="B129" i="5"/>
  <c r="C129" i="5"/>
  <c r="A130" i="5"/>
  <c r="B130" i="5"/>
  <c r="C130" i="5"/>
  <c r="E130" i="5"/>
  <c r="A131" i="5"/>
  <c r="B131" i="5"/>
  <c r="C131" i="5"/>
  <c r="E131" i="5"/>
  <c r="A132" i="5"/>
  <c r="B132" i="5"/>
  <c r="C132" i="5"/>
  <c r="E132" i="5"/>
  <c r="A133" i="5"/>
  <c r="E133" i="5" s="1"/>
  <c r="B133" i="5"/>
  <c r="C133" i="5"/>
  <c r="A134" i="5"/>
  <c r="E134" i="5" s="1"/>
  <c r="B134" i="5"/>
  <c r="C134" i="5"/>
  <c r="A135" i="5"/>
  <c r="B135" i="5"/>
  <c r="C135" i="5"/>
  <c r="E135" i="5"/>
  <c r="A136" i="5"/>
  <c r="B136" i="5"/>
  <c r="C136" i="5"/>
  <c r="E136" i="5"/>
  <c r="A137" i="5"/>
  <c r="B137" i="5"/>
  <c r="C137" i="5"/>
  <c r="E137" i="5"/>
  <c r="A138" i="5"/>
  <c r="E138" i="5" s="1"/>
  <c r="B138" i="5"/>
  <c r="C138" i="5"/>
  <c r="A139" i="5"/>
  <c r="E139" i="5" s="1"/>
  <c r="B139" i="5"/>
  <c r="C139" i="5"/>
  <c r="A140" i="5"/>
  <c r="B140" i="5"/>
  <c r="C140" i="5"/>
  <c r="E140" i="5"/>
  <c r="A141" i="5"/>
  <c r="B141" i="5"/>
  <c r="C141" i="5"/>
  <c r="E141" i="5"/>
  <c r="A142" i="5"/>
  <c r="B142" i="5"/>
  <c r="C142" i="5"/>
  <c r="E142" i="5"/>
  <c r="A143" i="5"/>
  <c r="E143" i="5" s="1"/>
  <c r="B143" i="5"/>
  <c r="C143" i="5"/>
  <c r="A144" i="5"/>
  <c r="E144" i="5" s="1"/>
  <c r="B144" i="5"/>
  <c r="C144" i="5"/>
  <c r="A145" i="5"/>
  <c r="B145" i="5"/>
  <c r="C145" i="5"/>
  <c r="E145" i="5"/>
  <c r="A146" i="5"/>
  <c r="B146" i="5"/>
  <c r="C146" i="5"/>
  <c r="E146" i="5"/>
  <c r="A147" i="5"/>
  <c r="B147" i="5"/>
  <c r="C147" i="5"/>
  <c r="E147" i="5"/>
  <c r="A148" i="5"/>
  <c r="E148" i="5" s="1"/>
  <c r="B148" i="5"/>
  <c r="C148" i="5"/>
  <c r="A149" i="5"/>
  <c r="E149" i="5" s="1"/>
  <c r="B149" i="5"/>
  <c r="C149" i="5"/>
  <c r="A150" i="5"/>
  <c r="B150" i="5"/>
  <c r="C150" i="5"/>
  <c r="E150" i="5"/>
  <c r="A151" i="5"/>
  <c r="B151" i="5"/>
  <c r="C151" i="5"/>
  <c r="E151" i="5"/>
  <c r="A152" i="5"/>
  <c r="B152" i="5"/>
  <c r="C152" i="5"/>
  <c r="E152" i="5"/>
  <c r="A153" i="5"/>
  <c r="E153" i="5" s="1"/>
  <c r="B153" i="5"/>
  <c r="C153" i="5"/>
  <c r="A154" i="5"/>
  <c r="E154" i="5" s="1"/>
  <c r="B154" i="5"/>
  <c r="C154" i="5"/>
  <c r="A155" i="5"/>
  <c r="B155" i="5"/>
  <c r="C155" i="5"/>
  <c r="E155" i="5"/>
  <c r="A156" i="5"/>
  <c r="B156" i="5"/>
  <c r="C156" i="5"/>
  <c r="E156" i="5"/>
  <c r="A157" i="5"/>
  <c r="B157" i="5"/>
  <c r="C157" i="5"/>
  <c r="E157" i="5"/>
  <c r="A158" i="5"/>
  <c r="E158" i="5" s="1"/>
  <c r="B158" i="5"/>
  <c r="C158" i="5"/>
  <c r="A159" i="5"/>
  <c r="E159" i="5" s="1"/>
  <c r="B159" i="5"/>
  <c r="C159" i="5"/>
  <c r="A160" i="5"/>
  <c r="B160" i="5"/>
  <c r="C160" i="5"/>
  <c r="E160" i="5"/>
  <c r="A161" i="5"/>
  <c r="B161" i="5"/>
  <c r="C161" i="5"/>
  <c r="E161" i="5"/>
  <c r="A162" i="5"/>
  <c r="B162" i="5"/>
  <c r="C162" i="5"/>
  <c r="E162" i="5"/>
  <c r="A163" i="5"/>
  <c r="E163" i="5" s="1"/>
  <c r="B163" i="5"/>
  <c r="C163" i="5"/>
  <c r="A164" i="5"/>
  <c r="E164" i="5" s="1"/>
  <c r="B164" i="5"/>
  <c r="C164" i="5"/>
  <c r="A165" i="5"/>
  <c r="B165" i="5"/>
  <c r="C165" i="5"/>
  <c r="E165" i="5"/>
  <c r="A166" i="5"/>
  <c r="B166" i="5"/>
  <c r="C166" i="5"/>
  <c r="E166" i="5"/>
  <c r="A167" i="5"/>
  <c r="B167" i="5"/>
  <c r="C167" i="5"/>
  <c r="E167" i="5"/>
  <c r="A168" i="5"/>
  <c r="E168" i="5" s="1"/>
  <c r="B168" i="5"/>
  <c r="C168" i="5"/>
  <c r="A169" i="5"/>
  <c r="E169" i="5" s="1"/>
  <c r="B169" i="5"/>
  <c r="C169" i="5"/>
  <c r="A170" i="5"/>
  <c r="B170" i="5"/>
  <c r="C170" i="5"/>
  <c r="E170" i="5"/>
  <c r="A171" i="5"/>
  <c r="B171" i="5"/>
  <c r="C171" i="5"/>
  <c r="E171" i="5"/>
  <c r="A172" i="5"/>
  <c r="B172" i="5"/>
  <c r="C172" i="5"/>
  <c r="E172" i="5"/>
  <c r="A173" i="5"/>
  <c r="E173" i="5" s="1"/>
  <c r="B173" i="5"/>
  <c r="C173" i="5"/>
  <c r="A174" i="5"/>
  <c r="E174" i="5" s="1"/>
  <c r="B174" i="5"/>
  <c r="C174" i="5"/>
  <c r="A175" i="5"/>
  <c r="B175" i="5"/>
  <c r="C175" i="5"/>
  <c r="E175" i="5"/>
  <c r="A176" i="5"/>
  <c r="B176" i="5"/>
  <c r="C176" i="5"/>
  <c r="E176" i="5"/>
  <c r="A177" i="5"/>
  <c r="B177" i="5"/>
  <c r="C177" i="5"/>
  <c r="E177" i="5"/>
  <c r="A178" i="5"/>
  <c r="E178" i="5" s="1"/>
  <c r="B178" i="5"/>
  <c r="C178" i="5"/>
  <c r="A179" i="5"/>
  <c r="E179" i="5" s="1"/>
  <c r="B179" i="5"/>
  <c r="C179" i="5"/>
  <c r="A180" i="5"/>
  <c r="B180" i="5"/>
  <c r="C180" i="5"/>
  <c r="E180" i="5"/>
  <c r="A181" i="5"/>
  <c r="B181" i="5"/>
  <c r="C181" i="5"/>
  <c r="E181" i="5"/>
  <c r="A182" i="5"/>
  <c r="B182" i="5"/>
  <c r="C182" i="5"/>
  <c r="E182" i="5"/>
  <c r="A183" i="5"/>
  <c r="E183" i="5" s="1"/>
  <c r="B183" i="5"/>
  <c r="C183" i="5"/>
  <c r="A184" i="5"/>
  <c r="E184" i="5" s="1"/>
  <c r="B184" i="5"/>
  <c r="C184" i="5"/>
  <c r="A185" i="5"/>
  <c r="B185" i="5"/>
  <c r="C185" i="5"/>
  <c r="E185" i="5"/>
  <c r="A186" i="5"/>
  <c r="B186" i="5"/>
  <c r="C186" i="5"/>
  <c r="E186" i="5"/>
  <c r="A187" i="5"/>
  <c r="B187" i="5"/>
  <c r="C187" i="5"/>
  <c r="E187" i="5"/>
  <c r="A188" i="5"/>
  <c r="E188" i="5" s="1"/>
  <c r="B188" i="5"/>
  <c r="C188" i="5"/>
  <c r="A189" i="5"/>
  <c r="E189" i="5" s="1"/>
  <c r="B189" i="5"/>
  <c r="C189" i="5"/>
  <c r="A190" i="5"/>
  <c r="B190" i="5"/>
  <c r="C190" i="5"/>
  <c r="E190" i="5"/>
  <c r="A191" i="5"/>
  <c r="B191" i="5"/>
  <c r="C191" i="5"/>
  <c r="E191" i="5"/>
  <c r="A192" i="5"/>
  <c r="B192" i="5"/>
  <c r="C192" i="5"/>
  <c r="E192" i="5"/>
  <c r="A193" i="5"/>
  <c r="E193" i="5" s="1"/>
  <c r="B193" i="5"/>
  <c r="C193" i="5"/>
  <c r="A194" i="5"/>
  <c r="E194" i="5" s="1"/>
  <c r="B194" i="5"/>
  <c r="C194" i="5"/>
  <c r="A195" i="5"/>
  <c r="B195" i="5"/>
  <c r="C195" i="5"/>
  <c r="E195" i="5"/>
  <c r="A196" i="5"/>
  <c r="B196" i="5"/>
  <c r="C196" i="5"/>
  <c r="E196" i="5"/>
  <c r="A197" i="5"/>
  <c r="B197" i="5"/>
  <c r="C197" i="5"/>
  <c r="E197" i="5"/>
  <c r="A198" i="5"/>
  <c r="E198" i="5" s="1"/>
  <c r="B198" i="5"/>
  <c r="C198" i="5"/>
  <c r="A199" i="5"/>
  <c r="E199" i="5" s="1"/>
  <c r="B199" i="5"/>
  <c r="C199" i="5"/>
  <c r="A200" i="5"/>
  <c r="B200" i="5"/>
  <c r="C200" i="5"/>
  <c r="E200" i="5"/>
  <c r="A201" i="5"/>
  <c r="B201" i="5"/>
  <c r="C201" i="5"/>
  <c r="E201" i="5"/>
  <c r="A202" i="5"/>
  <c r="B202" i="5"/>
  <c r="C202" i="5"/>
  <c r="E202" i="5"/>
  <c r="A203" i="5"/>
  <c r="E203" i="5" s="1"/>
  <c r="B203" i="5"/>
  <c r="C203" i="5"/>
  <c r="A204" i="5"/>
  <c r="E204" i="5" s="1"/>
  <c r="B204" i="5"/>
  <c r="C204" i="5"/>
  <c r="A205" i="5"/>
  <c r="B205" i="5"/>
  <c r="C205" i="5"/>
  <c r="E205" i="5"/>
  <c r="A206" i="5"/>
  <c r="B206" i="5"/>
  <c r="C206" i="5"/>
  <c r="E206" i="5"/>
  <c r="A207" i="5"/>
  <c r="B207" i="5"/>
  <c r="C207" i="5"/>
  <c r="E207" i="5"/>
  <c r="A208" i="5"/>
  <c r="E208" i="5" s="1"/>
  <c r="B208" i="5"/>
  <c r="C208" i="5"/>
  <c r="A209" i="5"/>
  <c r="E209" i="5" s="1"/>
  <c r="B209" i="5"/>
  <c r="C209" i="5"/>
  <c r="A210" i="5"/>
  <c r="B210" i="5"/>
  <c r="C210" i="5"/>
  <c r="E210" i="5"/>
  <c r="A211" i="5"/>
  <c r="B211" i="5"/>
  <c r="C211" i="5"/>
  <c r="E211" i="5"/>
  <c r="A212" i="5"/>
  <c r="B212" i="5"/>
  <c r="C212" i="5"/>
  <c r="E212" i="5"/>
  <c r="A213" i="5"/>
  <c r="E213" i="5" s="1"/>
  <c r="B213" i="5"/>
  <c r="C213" i="5"/>
  <c r="A214" i="5"/>
  <c r="E214" i="5" s="1"/>
  <c r="B214" i="5"/>
  <c r="C214" i="5"/>
  <c r="A215" i="5"/>
  <c r="B215" i="5"/>
  <c r="C215" i="5"/>
  <c r="E215" i="5"/>
  <c r="A216" i="5"/>
  <c r="B216" i="5"/>
  <c r="C216" i="5"/>
  <c r="E216" i="5"/>
  <c r="A217" i="5"/>
  <c r="B217" i="5"/>
  <c r="C217" i="5"/>
  <c r="E217" i="5"/>
  <c r="A218" i="5"/>
  <c r="E218" i="5" s="1"/>
  <c r="B218" i="5"/>
  <c r="C218" i="5"/>
  <c r="A219" i="5"/>
  <c r="E219" i="5" s="1"/>
  <c r="B219" i="5"/>
  <c r="C219" i="5"/>
  <c r="A220" i="5"/>
  <c r="B220" i="5"/>
  <c r="C220" i="5"/>
  <c r="E220" i="5"/>
  <c r="A221" i="5"/>
  <c r="B221" i="5"/>
  <c r="C221" i="5"/>
  <c r="E221" i="5"/>
  <c r="A222" i="5"/>
  <c r="B222" i="5"/>
  <c r="C222" i="5"/>
  <c r="E222" i="5"/>
  <c r="A223" i="5"/>
  <c r="E223" i="5" s="1"/>
  <c r="B223" i="5"/>
  <c r="C223" i="5"/>
  <c r="A224" i="5"/>
  <c r="E224" i="5" s="1"/>
  <c r="B224" i="5"/>
  <c r="C224" i="5"/>
  <c r="A3" i="3"/>
  <c r="B3" i="3"/>
  <c r="A4" i="3"/>
  <c r="B4" i="3" s="1"/>
  <c r="A5" i="3"/>
  <c r="B5" i="3" s="1"/>
  <c r="A6" i="3"/>
  <c r="B6" i="3" s="1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 s="1"/>
  <c r="A15" i="3"/>
  <c r="B15" i="3" s="1"/>
  <c r="A16" i="3"/>
  <c r="B16" i="3" s="1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 s="1"/>
  <c r="A25" i="3"/>
  <c r="B25" i="3" s="1"/>
  <c r="A26" i="3"/>
  <c r="B26" i="3" s="1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 s="1"/>
  <c r="A35" i="3"/>
  <c r="B35" i="3" s="1"/>
  <c r="A36" i="3"/>
  <c r="B36" i="3" s="1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 s="1"/>
  <c r="A45" i="3"/>
  <c r="B45" i="3" s="1"/>
  <c r="A46" i="3"/>
  <c r="B46" i="3" s="1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 s="1"/>
  <c r="A55" i="3"/>
  <c r="B55" i="3" s="1"/>
  <c r="A56" i="3"/>
  <c r="B56" i="3" s="1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 s="1"/>
  <c r="A65" i="3"/>
  <c r="B65" i="3" s="1"/>
  <c r="A66" i="3"/>
  <c r="B66" i="3" s="1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 s="1"/>
  <c r="A75" i="3"/>
  <c r="B75" i="3" s="1"/>
  <c r="A76" i="3"/>
  <c r="B76" i="3" s="1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 s="1"/>
  <c r="A85" i="3"/>
  <c r="B85" i="3" s="1"/>
  <c r="A86" i="3"/>
  <c r="B86" i="3" s="1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 s="1"/>
  <c r="A95" i="3"/>
  <c r="B95" i="3" s="1"/>
  <c r="A96" i="3"/>
  <c r="B96" i="3" s="1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 s="1"/>
  <c r="A105" i="3"/>
  <c r="B105" i="3" s="1"/>
  <c r="A106" i="3"/>
  <c r="B106" i="3" s="1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 s="1"/>
  <c r="A115" i="3"/>
  <c r="B115" i="3" s="1"/>
  <c r="A116" i="3"/>
  <c r="B116" i="3" s="1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 s="1"/>
  <c r="A125" i="3"/>
  <c r="B125" i="3" s="1"/>
  <c r="A126" i="3"/>
  <c r="B126" i="3" s="1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 s="1"/>
  <c r="A135" i="3"/>
  <c r="B135" i="3" s="1"/>
  <c r="A136" i="3"/>
  <c r="B136" i="3" s="1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 s="1"/>
  <c r="A145" i="3"/>
  <c r="B145" i="3" s="1"/>
  <c r="A146" i="3"/>
  <c r="B146" i="3" s="1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 s="1"/>
  <c r="A155" i="3"/>
  <c r="B155" i="3" s="1"/>
  <c r="A156" i="3"/>
  <c r="B156" i="3" s="1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 s="1"/>
  <c r="A165" i="3"/>
  <c r="B165" i="3" s="1"/>
  <c r="A166" i="3"/>
  <c r="B166" i="3" s="1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 s="1"/>
  <c r="A175" i="3"/>
  <c r="B175" i="3" s="1"/>
  <c r="A176" i="3"/>
  <c r="B176" i="3" s="1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 s="1"/>
  <c r="A185" i="3"/>
  <c r="B185" i="3" s="1"/>
  <c r="A186" i="3"/>
  <c r="B186" i="3" s="1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 s="1"/>
  <c r="A195" i="3"/>
  <c r="B195" i="3" s="1"/>
  <c r="A196" i="3"/>
  <c r="B196" i="3" s="1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 s="1"/>
  <c r="A205" i="3"/>
  <c r="B205" i="3" s="1"/>
  <c r="A206" i="3"/>
  <c r="B206" i="3" s="1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 s="1"/>
  <c r="A215" i="3"/>
  <c r="B215" i="3" s="1"/>
  <c r="A216" i="3"/>
  <c r="B216" i="3" s="1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 s="1"/>
  <c r="A225" i="3"/>
  <c r="B225" i="3"/>
  <c r="A226" i="3"/>
  <c r="B226" i="3"/>
  <c r="B227" i="3" l="1"/>
  <c r="B228" i="3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" i="1"/>
  <c r="AJ176" i="1"/>
  <c r="AL176" i="1" s="1"/>
  <c r="A176" i="1" s="1"/>
  <c r="AJ175" i="1"/>
  <c r="AL175" i="1" s="1"/>
  <c r="A175" i="1" s="1"/>
  <c r="AJ180" i="1"/>
  <c r="AL180" i="1" s="1"/>
  <c r="A180" i="1" s="1"/>
  <c r="AJ179" i="1"/>
  <c r="AL179" i="1" s="1"/>
  <c r="A179" i="1" s="1"/>
  <c r="AJ178" i="1"/>
  <c r="AL178" i="1" s="1"/>
  <c r="A178" i="1" s="1"/>
  <c r="AJ177" i="1"/>
  <c r="AL177" i="1" s="1"/>
  <c r="A177" i="1" s="1"/>
  <c r="AJ8" i="1"/>
  <c r="AL8" i="1" s="1"/>
  <c r="A8" i="1" s="1"/>
  <c r="AJ7" i="1"/>
  <c r="AL7" i="1" s="1"/>
  <c r="A7" i="1" s="1"/>
  <c r="AJ6" i="1"/>
  <c r="AL6" i="1" s="1"/>
  <c r="A6" i="1" s="1"/>
  <c r="AJ206" i="1" l="1"/>
  <c r="AL206" i="1" s="1"/>
  <c r="A206" i="1" s="1"/>
  <c r="AJ202" i="1"/>
  <c r="AL202" i="1" s="1"/>
  <c r="A202" i="1" s="1"/>
  <c r="AJ196" i="1"/>
  <c r="AL196" i="1" s="1"/>
  <c r="A196" i="1" s="1"/>
  <c r="H196" i="1"/>
  <c r="L196" i="1" s="1"/>
  <c r="P196" i="1" s="1"/>
  <c r="T196" i="1" s="1"/>
  <c r="F196" i="1"/>
  <c r="J196" i="1" s="1"/>
  <c r="N196" i="1" s="1"/>
  <c r="R196" i="1" s="1"/>
  <c r="V196" i="1" s="1"/>
  <c r="AJ111" i="1"/>
  <c r="AL111" i="1" s="1"/>
  <c r="A111" i="1" s="1"/>
  <c r="AJ110" i="1"/>
  <c r="AL110" i="1" s="1"/>
  <c r="A110" i="1" s="1"/>
  <c r="AJ109" i="1"/>
  <c r="AL109" i="1" s="1"/>
  <c r="A109" i="1" s="1"/>
  <c r="AJ108" i="1"/>
  <c r="AL108" i="1" s="1"/>
  <c r="A108" i="1" s="1"/>
  <c r="AJ107" i="1"/>
  <c r="AL107" i="1" s="1"/>
  <c r="A107" i="1" s="1"/>
  <c r="AJ106" i="1"/>
  <c r="AL106" i="1" s="1"/>
  <c r="A106" i="1" s="1"/>
  <c r="AJ105" i="1"/>
  <c r="AL105" i="1" s="1"/>
  <c r="A105" i="1" s="1"/>
  <c r="AJ104" i="1"/>
  <c r="AL104" i="1" s="1"/>
  <c r="A104" i="1" s="1"/>
  <c r="AJ103" i="1"/>
  <c r="AL103" i="1" s="1"/>
  <c r="A103" i="1" s="1"/>
  <c r="AJ40" i="1"/>
  <c r="AL40" i="1" s="1"/>
  <c r="A40" i="1" s="1"/>
  <c r="AJ39" i="1"/>
  <c r="AL39" i="1" s="1"/>
  <c r="A39" i="1" s="1"/>
  <c r="AJ38" i="1"/>
  <c r="AL38" i="1" s="1"/>
  <c r="A38" i="1" s="1"/>
  <c r="AJ37" i="1"/>
  <c r="AL37" i="1" s="1"/>
  <c r="A37" i="1" s="1"/>
  <c r="B2" i="6" l="1"/>
  <c r="C2" i="6" l="1"/>
  <c r="AJ224" i="1" l="1"/>
  <c r="AL224" i="1" s="1"/>
  <c r="A224" i="1" s="1"/>
  <c r="AJ131" i="1" l="1"/>
  <c r="AL131" i="1" s="1"/>
  <c r="A131" i="1" s="1"/>
  <c r="AJ130" i="1"/>
  <c r="AL130" i="1" s="1"/>
  <c r="A130" i="1" s="1"/>
  <c r="AJ129" i="1"/>
  <c r="AL129" i="1" s="1"/>
  <c r="A129" i="1" s="1"/>
  <c r="AJ128" i="1" l="1"/>
  <c r="AL128" i="1" s="1"/>
  <c r="A128" i="1" s="1"/>
  <c r="AJ123" i="1" l="1"/>
  <c r="AL123" i="1" s="1"/>
  <c r="A123" i="1" s="1"/>
  <c r="AJ122" i="1"/>
  <c r="AL122" i="1" s="1"/>
  <c r="A122" i="1" s="1"/>
  <c r="AJ121" i="1"/>
  <c r="AL121" i="1" s="1"/>
  <c r="A121" i="1" s="1"/>
  <c r="AJ120" i="1"/>
  <c r="AL120" i="1" s="1"/>
  <c r="A120" i="1" s="1"/>
  <c r="AJ119" i="1"/>
  <c r="AL119" i="1" s="1"/>
  <c r="A119" i="1" s="1"/>
  <c r="AJ118" i="1"/>
  <c r="AL118" i="1" s="1"/>
  <c r="A118" i="1" s="1"/>
  <c r="AJ117" i="1"/>
  <c r="AL117" i="1" s="1"/>
  <c r="A117" i="1" s="1"/>
  <c r="AJ116" i="1"/>
  <c r="AL116" i="1" s="1"/>
  <c r="A116" i="1" s="1"/>
  <c r="AJ115" i="1"/>
  <c r="AL115" i="1" s="1"/>
  <c r="A115" i="1" s="1"/>
  <c r="AJ114" i="1"/>
  <c r="AL114" i="1" s="1"/>
  <c r="A114" i="1" s="1"/>
  <c r="AJ113" i="1"/>
  <c r="AL113" i="1" s="1"/>
  <c r="A113" i="1" s="1"/>
  <c r="AJ112" i="1"/>
  <c r="AL112" i="1" s="1"/>
  <c r="A112" i="1" s="1"/>
  <c r="AJ127" i="1"/>
  <c r="AL127" i="1" s="1"/>
  <c r="A127" i="1" s="1"/>
  <c r="AJ126" i="1"/>
  <c r="AL126" i="1" s="1"/>
  <c r="A126" i="1" s="1"/>
  <c r="AJ125" i="1"/>
  <c r="AL125" i="1" s="1"/>
  <c r="A125" i="1" s="1"/>
  <c r="AJ124" i="1"/>
  <c r="AL124" i="1" s="1"/>
  <c r="A124" i="1" s="1"/>
  <c r="AJ87" i="1" l="1"/>
  <c r="AL87" i="1" s="1"/>
  <c r="A87" i="1" s="1"/>
  <c r="AJ86" i="1"/>
  <c r="AL86" i="1" s="1"/>
  <c r="A86" i="1" s="1"/>
  <c r="AJ85" i="1"/>
  <c r="AL85" i="1" s="1"/>
  <c r="A85" i="1" s="1"/>
  <c r="AJ84" i="1"/>
  <c r="AL84" i="1" s="1"/>
  <c r="A84" i="1" s="1"/>
  <c r="AJ201" i="1" l="1"/>
  <c r="AL201" i="1" s="1"/>
  <c r="A201" i="1" s="1"/>
  <c r="AJ200" i="1"/>
  <c r="AL200" i="1" s="1"/>
  <c r="A200" i="1" s="1"/>
  <c r="AJ199" i="1"/>
  <c r="AL199" i="1" s="1"/>
  <c r="A199" i="1" s="1"/>
  <c r="AJ197" i="1"/>
  <c r="AL197" i="1" s="1"/>
  <c r="A197" i="1" s="1"/>
  <c r="AJ154" i="1" l="1"/>
  <c r="AL154" i="1" s="1"/>
  <c r="A154" i="1" s="1"/>
  <c r="AJ153" i="1"/>
  <c r="AL153" i="1" s="1"/>
  <c r="A153" i="1" s="1"/>
  <c r="AJ152" i="1"/>
  <c r="AL152" i="1" s="1"/>
  <c r="A152" i="1" s="1"/>
  <c r="AJ151" i="1"/>
  <c r="AL151" i="1" s="1"/>
  <c r="A151" i="1" s="1"/>
  <c r="AJ192" i="1" l="1"/>
  <c r="AL192" i="1" s="1"/>
  <c r="A192" i="1" s="1"/>
  <c r="AJ191" i="1"/>
  <c r="AL191" i="1" s="1"/>
  <c r="A191" i="1" s="1"/>
  <c r="AJ190" i="1"/>
  <c r="AL190" i="1" s="1"/>
  <c r="A190" i="1" s="1"/>
  <c r="AJ189" i="1"/>
  <c r="AL189" i="1" s="1"/>
  <c r="A189" i="1" s="1"/>
  <c r="AJ188" i="1"/>
  <c r="AL188" i="1" s="1"/>
  <c r="A188" i="1" s="1"/>
  <c r="AJ187" i="1"/>
  <c r="AL187" i="1" s="1"/>
  <c r="A187" i="1" s="1"/>
  <c r="AJ139" i="1"/>
  <c r="AL139" i="1" s="1"/>
  <c r="A139" i="1" s="1"/>
  <c r="AJ138" i="1"/>
  <c r="AL138" i="1" s="1"/>
  <c r="A138" i="1" s="1"/>
  <c r="AJ137" i="1"/>
  <c r="AL137" i="1" s="1"/>
  <c r="A137" i="1" s="1"/>
  <c r="AJ99" i="1"/>
  <c r="AL99" i="1" s="1"/>
  <c r="A99" i="1" s="1"/>
  <c r="AJ98" i="1"/>
  <c r="AL98" i="1" s="1"/>
  <c r="A98" i="1" s="1"/>
  <c r="AJ97" i="1"/>
  <c r="AL97" i="1" s="1"/>
  <c r="A97" i="1" s="1"/>
  <c r="AJ96" i="1"/>
  <c r="AL96" i="1" s="1"/>
  <c r="A96" i="1" s="1"/>
  <c r="AJ95" i="1"/>
  <c r="AL95" i="1" s="1"/>
  <c r="A95" i="1" s="1"/>
  <c r="AJ94" i="1"/>
  <c r="AL94" i="1" s="1"/>
  <c r="A94" i="1" s="1"/>
  <c r="AJ72" i="1"/>
  <c r="AL72" i="1" s="1"/>
  <c r="A72" i="1" s="1"/>
  <c r="AJ71" i="1"/>
  <c r="AL71" i="1" s="1"/>
  <c r="A71" i="1" s="1"/>
  <c r="AJ70" i="1"/>
  <c r="AL70" i="1" s="1"/>
  <c r="A70" i="1" s="1"/>
  <c r="AJ69" i="1"/>
  <c r="AL69" i="1" s="1"/>
  <c r="A69" i="1" s="1"/>
  <c r="AJ68" i="1"/>
  <c r="AL68" i="1" s="1"/>
  <c r="A68" i="1" s="1"/>
  <c r="AJ67" i="1"/>
  <c r="AL67" i="1" s="1"/>
  <c r="A67" i="1" s="1"/>
  <c r="AJ52" i="1"/>
  <c r="AL52" i="1" s="1"/>
  <c r="A52" i="1" s="1"/>
  <c r="AJ51" i="1"/>
  <c r="AL51" i="1" s="1"/>
  <c r="A51" i="1" s="1"/>
  <c r="AJ50" i="1"/>
  <c r="AL50" i="1" s="1"/>
  <c r="A50" i="1" s="1"/>
  <c r="AJ49" i="1"/>
  <c r="AL49" i="1" s="1"/>
  <c r="A49" i="1" s="1"/>
  <c r="AJ48" i="1"/>
  <c r="AL48" i="1" s="1"/>
  <c r="A48" i="1" s="1"/>
  <c r="AJ47" i="1"/>
  <c r="AL47" i="1" s="1"/>
  <c r="A47" i="1" s="1"/>
  <c r="AJ22" i="1"/>
  <c r="AL22" i="1" s="1"/>
  <c r="A22" i="1" s="1"/>
  <c r="AJ21" i="1"/>
  <c r="AL21" i="1" s="1"/>
  <c r="A21" i="1" s="1"/>
  <c r="AJ20" i="1"/>
  <c r="AL20" i="1" s="1"/>
  <c r="A20" i="1" s="1"/>
  <c r="AJ19" i="1"/>
  <c r="AL19" i="1" s="1"/>
  <c r="A19" i="1" s="1"/>
  <c r="AJ18" i="1"/>
  <c r="AL18" i="1" s="1"/>
  <c r="A18" i="1" s="1"/>
  <c r="AJ17" i="1"/>
  <c r="AL17" i="1" s="1"/>
  <c r="A17" i="1" s="1"/>
  <c r="AJ23" i="1"/>
  <c r="AL23" i="1" s="1"/>
  <c r="A23" i="1" s="1"/>
  <c r="AJ24" i="1"/>
  <c r="AL24" i="1" s="1"/>
  <c r="A24" i="1" s="1"/>
  <c r="AJ25" i="1"/>
  <c r="AL25" i="1" s="1"/>
  <c r="A25" i="1" s="1"/>
  <c r="AJ26" i="1"/>
  <c r="AL26" i="1" s="1"/>
  <c r="A26" i="1" s="1"/>
  <c r="AJ27" i="1"/>
  <c r="AL27" i="1" s="1"/>
  <c r="A27" i="1" s="1"/>
  <c r="AJ28" i="1"/>
  <c r="AL28" i="1" s="1"/>
  <c r="A28" i="1" s="1"/>
  <c r="AJ195" i="1" l="1"/>
  <c r="AL195" i="1" s="1"/>
  <c r="A195" i="1" s="1"/>
  <c r="H195" i="1"/>
  <c r="L195" i="1" s="1"/>
  <c r="P195" i="1" s="1"/>
  <c r="T195" i="1" s="1"/>
  <c r="F195" i="1"/>
  <c r="J195" i="1" s="1"/>
  <c r="N195" i="1" s="1"/>
  <c r="R195" i="1" s="1"/>
  <c r="V195" i="1" s="1"/>
  <c r="H217" i="1" l="1"/>
  <c r="L217" i="1" s="1"/>
  <c r="P217" i="1" s="1"/>
  <c r="T217" i="1" s="1"/>
  <c r="F217" i="1"/>
  <c r="J217" i="1" s="1"/>
  <c r="N217" i="1" s="1"/>
  <c r="R217" i="1" s="1"/>
  <c r="V217" i="1" s="1"/>
  <c r="H216" i="1"/>
  <c r="L216" i="1" s="1"/>
  <c r="P216" i="1" s="1"/>
  <c r="T216" i="1" s="1"/>
  <c r="F216" i="1"/>
  <c r="J216" i="1" s="1"/>
  <c r="N216" i="1" s="1"/>
  <c r="R216" i="1" s="1"/>
  <c r="V216" i="1" s="1"/>
  <c r="H215" i="1" l="1"/>
  <c r="L215" i="1" s="1"/>
  <c r="P215" i="1" s="1"/>
  <c r="T215" i="1" s="1"/>
  <c r="F215" i="1"/>
  <c r="J215" i="1" s="1"/>
  <c r="N215" i="1" s="1"/>
  <c r="R215" i="1" s="1"/>
  <c r="V215" i="1" s="1"/>
  <c r="H214" i="1"/>
  <c r="L214" i="1" s="1"/>
  <c r="P214" i="1" s="1"/>
  <c r="T214" i="1" s="1"/>
  <c r="F214" i="1"/>
  <c r="J214" i="1" s="1"/>
  <c r="N214" i="1" s="1"/>
  <c r="R214" i="1" s="1"/>
  <c r="V214" i="1" s="1"/>
  <c r="H219" i="1" l="1"/>
  <c r="L219" i="1" s="1"/>
  <c r="P219" i="1" s="1"/>
  <c r="T219" i="1" s="1"/>
  <c r="F219" i="1"/>
  <c r="J219" i="1" s="1"/>
  <c r="N219" i="1" s="1"/>
  <c r="R219" i="1" s="1"/>
  <c r="V219" i="1" s="1"/>
  <c r="H218" i="1"/>
  <c r="L218" i="1" s="1"/>
  <c r="P218" i="1" s="1"/>
  <c r="T218" i="1" s="1"/>
  <c r="F218" i="1"/>
  <c r="J218" i="1" s="1"/>
  <c r="N218" i="1" s="1"/>
  <c r="R218" i="1" s="1"/>
  <c r="V218" i="1" s="1"/>
  <c r="H213" i="1"/>
  <c r="L213" i="1" s="1"/>
  <c r="P213" i="1" s="1"/>
  <c r="T213" i="1" s="1"/>
  <c r="F213" i="1"/>
  <c r="J213" i="1" s="1"/>
  <c r="N213" i="1" s="1"/>
  <c r="R213" i="1" s="1"/>
  <c r="V213" i="1" s="1"/>
  <c r="H212" i="1"/>
  <c r="L212" i="1" s="1"/>
  <c r="P212" i="1" s="1"/>
  <c r="T212" i="1" s="1"/>
  <c r="F212" i="1"/>
  <c r="J212" i="1" s="1"/>
  <c r="N212" i="1" s="1"/>
  <c r="R212" i="1" s="1"/>
  <c r="V212" i="1" s="1"/>
  <c r="H209" i="1"/>
  <c r="L209" i="1" s="1"/>
  <c r="T209" i="1" s="1"/>
  <c r="F209" i="1"/>
  <c r="J209" i="1" s="1"/>
  <c r="V209" i="1" s="1"/>
  <c r="H208" i="1"/>
  <c r="L208" i="1" s="1"/>
  <c r="T208" i="1" s="1"/>
  <c r="F208" i="1"/>
  <c r="J208" i="1" s="1"/>
  <c r="V208" i="1" s="1"/>
  <c r="C2" i="5" l="1"/>
  <c r="B2" i="5"/>
  <c r="G2" i="4"/>
  <c r="F2" i="4"/>
  <c r="D2" i="4"/>
  <c r="C2" i="4"/>
  <c r="A2" i="3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AJ181" i="1" s="1"/>
  <c r="AL181" i="1" s="1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AJ133" i="1" s="1"/>
  <c r="AL133" i="1" s="1"/>
  <c r="A133" i="1" s="1"/>
  <c r="F6" i="2"/>
  <c r="F5" i="2"/>
  <c r="AJ58" i="1" s="1"/>
  <c r="AL58" i="1" s="1"/>
  <c r="A58" i="1" s="1"/>
  <c r="F4" i="2"/>
  <c r="F3" i="2"/>
  <c r="F2" i="2"/>
  <c r="AJ3" i="1" s="1"/>
  <c r="AL3" i="1" s="1"/>
  <c r="A3" i="1" s="1"/>
  <c r="AJ159" i="1" l="1"/>
  <c r="AL159" i="1" s="1"/>
  <c r="A159" i="1" s="1"/>
  <c r="AJ157" i="1"/>
  <c r="AL157" i="1" s="1"/>
  <c r="A157" i="1" s="1"/>
  <c r="AJ156" i="1"/>
  <c r="AL156" i="1" s="1"/>
  <c r="A156" i="1" s="1"/>
  <c r="AJ158" i="1"/>
  <c r="AL158" i="1" s="1"/>
  <c r="A158" i="1" s="1"/>
  <c r="AJ220" i="1"/>
  <c r="AL220" i="1" s="1"/>
  <c r="A220" i="1" s="1"/>
  <c r="AJ93" i="1"/>
  <c r="AL93" i="1" s="1"/>
  <c r="A93" i="1" s="1"/>
  <c r="AJ91" i="1"/>
  <c r="AL91" i="1" s="1"/>
  <c r="A91" i="1" s="1"/>
  <c r="AJ101" i="1"/>
  <c r="AL101" i="1" s="1"/>
  <c r="A101" i="1" s="1"/>
  <c r="AJ92" i="1"/>
  <c r="AL92" i="1" s="1"/>
  <c r="A92" i="1" s="1"/>
  <c r="AJ100" i="1"/>
  <c r="AL100" i="1" s="1"/>
  <c r="A100" i="1" s="1"/>
  <c r="AJ102" i="1"/>
  <c r="AL102" i="1" s="1"/>
  <c r="A102" i="1" s="1"/>
  <c r="AJ78" i="1"/>
  <c r="AL78" i="1" s="1"/>
  <c r="A78" i="1" s="1"/>
  <c r="AJ77" i="1"/>
  <c r="AL77" i="1" s="1"/>
  <c r="A77" i="1" s="1"/>
  <c r="AJ83" i="1"/>
  <c r="AL83" i="1" s="1"/>
  <c r="A83" i="1" s="1"/>
  <c r="AJ80" i="1"/>
  <c r="AL80" i="1" s="1"/>
  <c r="A80" i="1" s="1"/>
  <c r="AJ76" i="1"/>
  <c r="AL76" i="1" s="1"/>
  <c r="A76" i="1" s="1"/>
  <c r="AJ74" i="1"/>
  <c r="AL74" i="1" s="1"/>
  <c r="A74" i="1" s="1"/>
  <c r="AJ79" i="1"/>
  <c r="AL79" i="1" s="1"/>
  <c r="A79" i="1" s="1"/>
  <c r="AJ89" i="1"/>
  <c r="AL89" i="1" s="1"/>
  <c r="A89" i="1" s="1"/>
  <c r="AJ75" i="1"/>
  <c r="AL75" i="1" s="1"/>
  <c r="A75" i="1" s="1"/>
  <c r="AJ73" i="1"/>
  <c r="AL73" i="1" s="1"/>
  <c r="A73" i="1" s="1"/>
  <c r="AJ90" i="1"/>
  <c r="AL90" i="1" s="1"/>
  <c r="A90" i="1" s="1"/>
  <c r="AJ88" i="1"/>
  <c r="AL88" i="1" s="1"/>
  <c r="A88" i="1" s="1"/>
  <c r="AJ81" i="1"/>
  <c r="AL81" i="1" s="1"/>
  <c r="A81" i="1" s="1"/>
  <c r="AJ82" i="1"/>
  <c r="AL82" i="1" s="1"/>
  <c r="A82" i="1" s="1"/>
  <c r="AJ164" i="1"/>
  <c r="AL164" i="1" s="1"/>
  <c r="A164" i="1" s="1"/>
  <c r="AJ174" i="1"/>
  <c r="AL174" i="1" s="1"/>
  <c r="A174" i="1" s="1"/>
  <c r="AJ171" i="1"/>
  <c r="AL171" i="1" s="1"/>
  <c r="A171" i="1" s="1"/>
  <c r="AJ161" i="1"/>
  <c r="AL161" i="1" s="1"/>
  <c r="A161" i="1" s="1"/>
  <c r="AJ163" i="1"/>
  <c r="AL163" i="1" s="1"/>
  <c r="A163" i="1" s="1"/>
  <c r="AJ173" i="1"/>
  <c r="AL173" i="1" s="1"/>
  <c r="A173" i="1" s="1"/>
  <c r="AJ162" i="1"/>
  <c r="AL162" i="1" s="1"/>
  <c r="A162" i="1" s="1"/>
  <c r="AJ214" i="1"/>
  <c r="AL214" i="1" s="1"/>
  <c r="A214" i="1" s="1"/>
  <c r="AJ216" i="1"/>
  <c r="AL216" i="1" s="1"/>
  <c r="A216" i="1" s="1"/>
  <c r="AJ218" i="1"/>
  <c r="AL218" i="1" s="1"/>
  <c r="A218" i="1" s="1"/>
  <c r="AJ215" i="1"/>
  <c r="AL215" i="1" s="1"/>
  <c r="A215" i="1" s="1"/>
  <c r="AJ217" i="1"/>
  <c r="AL217" i="1" s="1"/>
  <c r="A217" i="1" s="1"/>
  <c r="AJ9" i="1"/>
  <c r="AL9" i="1" s="1"/>
  <c r="A9" i="1" s="1"/>
  <c r="AJ16" i="1"/>
  <c r="AL16" i="1" s="1"/>
  <c r="A16" i="1" s="1"/>
  <c r="AJ15" i="1"/>
  <c r="AL15" i="1" s="1"/>
  <c r="A15" i="1" s="1"/>
  <c r="AJ12" i="1"/>
  <c r="AL12" i="1" s="1"/>
  <c r="A12" i="1" s="1"/>
  <c r="AJ11" i="1"/>
  <c r="AL11" i="1" s="1"/>
  <c r="A11" i="1" s="1"/>
  <c r="AJ5" i="1"/>
  <c r="AL5" i="1" s="1"/>
  <c r="A5" i="1" s="1"/>
  <c r="AJ4" i="1"/>
  <c r="AL4" i="1" s="1"/>
  <c r="A4" i="1" s="1"/>
  <c r="AJ14" i="1"/>
  <c r="AL14" i="1" s="1"/>
  <c r="A14" i="1" s="1"/>
  <c r="AJ13" i="1"/>
  <c r="AL13" i="1" s="1"/>
  <c r="A13" i="1" s="1"/>
  <c r="AJ10" i="1"/>
  <c r="AL10" i="1" s="1"/>
  <c r="A10" i="1" s="1"/>
  <c r="AJ66" i="1"/>
  <c r="AL66" i="1" s="1"/>
  <c r="A66" i="1" s="1"/>
  <c r="AJ65" i="1"/>
  <c r="AL65" i="1" s="1"/>
  <c r="A65" i="1" s="1"/>
  <c r="AJ145" i="1"/>
  <c r="AL145" i="1" s="1"/>
  <c r="A145" i="1" s="1"/>
  <c r="AJ150" i="1"/>
  <c r="AL150" i="1" s="1"/>
  <c r="A150" i="1" s="1"/>
  <c r="AJ143" i="1"/>
  <c r="AL143" i="1" s="1"/>
  <c r="A143" i="1" s="1"/>
  <c r="AJ142" i="1"/>
  <c r="AL142" i="1" s="1"/>
  <c r="A142" i="1" s="1"/>
  <c r="AJ147" i="1"/>
  <c r="AL147" i="1" s="1"/>
  <c r="A147" i="1" s="1"/>
  <c r="AJ140" i="1"/>
  <c r="AL140" i="1" s="1"/>
  <c r="A140" i="1" s="1"/>
  <c r="AJ155" i="1"/>
  <c r="AL155" i="1" s="1"/>
  <c r="A155" i="1" s="1"/>
  <c r="AJ149" i="1"/>
  <c r="AL149" i="1" s="1"/>
  <c r="A149" i="1" s="1"/>
  <c r="AJ148" i="1"/>
  <c r="AL148" i="1" s="1"/>
  <c r="A148" i="1" s="1"/>
  <c r="AJ141" i="1"/>
  <c r="AL141" i="1" s="1"/>
  <c r="A141" i="1" s="1"/>
  <c r="AJ144" i="1"/>
  <c r="AL144" i="1" s="1"/>
  <c r="A144" i="1" s="1"/>
  <c r="AJ146" i="1"/>
  <c r="AL146" i="1" s="1"/>
  <c r="A146" i="1" s="1"/>
  <c r="AJ211" i="1"/>
  <c r="AL211" i="1" s="1"/>
  <c r="A211" i="1" s="1"/>
  <c r="AJ210" i="1"/>
  <c r="AL210" i="1" s="1"/>
  <c r="A210" i="1" s="1"/>
  <c r="AJ219" i="1"/>
  <c r="AL219" i="1" s="1"/>
  <c r="A219" i="1" s="1"/>
  <c r="AJ222" i="1"/>
  <c r="AL222" i="1" s="1"/>
  <c r="A222" i="1" s="1"/>
  <c r="AJ223" i="1"/>
  <c r="AL223" i="1" s="1"/>
  <c r="A223" i="1" s="1"/>
  <c r="AJ221" i="1"/>
  <c r="AL221" i="1" s="1"/>
  <c r="A221" i="1" s="1"/>
  <c r="AJ2" i="1"/>
  <c r="AL2" i="1" s="1"/>
  <c r="A2" i="1" s="1"/>
  <c r="AJ170" i="1"/>
  <c r="AL170" i="1" s="1"/>
  <c r="A170" i="1" s="1"/>
  <c r="AJ35" i="1"/>
  <c r="AL35" i="1" s="1"/>
  <c r="A35" i="1" s="1"/>
  <c r="AJ36" i="1"/>
  <c r="AL36" i="1" s="1"/>
  <c r="A36" i="1" s="1"/>
  <c r="AJ46" i="1"/>
  <c r="AL46" i="1" s="1"/>
  <c r="A46" i="1" s="1"/>
  <c r="AJ45" i="1"/>
  <c r="AL45" i="1" s="1"/>
  <c r="A45" i="1" s="1"/>
  <c r="AJ44" i="1"/>
  <c r="AL44" i="1" s="1"/>
  <c r="A44" i="1" s="1"/>
  <c r="AJ32" i="1"/>
  <c r="AL32" i="1" s="1"/>
  <c r="A32" i="1" s="1"/>
  <c r="AJ31" i="1"/>
  <c r="AL31" i="1" s="1"/>
  <c r="A31" i="1" s="1"/>
  <c r="AJ33" i="1"/>
  <c r="AL33" i="1" s="1"/>
  <c r="A33" i="1" s="1"/>
  <c r="AJ132" i="1"/>
  <c r="AL132" i="1" s="1"/>
  <c r="A132" i="1" s="1"/>
  <c r="AJ193" i="1"/>
  <c r="AL193" i="1" s="1"/>
  <c r="A193" i="1" s="1"/>
  <c r="AJ194" i="1"/>
  <c r="AL194" i="1" s="1"/>
  <c r="A194" i="1" s="1"/>
  <c r="AJ186" i="1"/>
  <c r="AL186" i="1" s="1"/>
  <c r="A186" i="1" s="1"/>
  <c r="AJ184" i="1"/>
  <c r="AL184" i="1" s="1"/>
  <c r="A184" i="1" s="1"/>
  <c r="A181" i="1"/>
  <c r="AJ182" i="1"/>
  <c r="AL182" i="1" s="1"/>
  <c r="A182" i="1" s="1"/>
  <c r="AJ183" i="1"/>
  <c r="AL183" i="1" s="1"/>
  <c r="A183" i="1" s="1"/>
  <c r="AJ185" i="1"/>
  <c r="AL185" i="1" s="1"/>
  <c r="A185" i="1" s="1"/>
  <c r="AJ41" i="1"/>
  <c r="AL41" i="1" s="1"/>
  <c r="A41" i="1" s="1"/>
  <c r="AJ42" i="1"/>
  <c r="AL42" i="1" s="1"/>
  <c r="A42" i="1" s="1"/>
  <c r="AJ43" i="1"/>
  <c r="AL43" i="1" s="1"/>
  <c r="A43" i="1" s="1"/>
  <c r="AJ53" i="1"/>
  <c r="AL53" i="1" s="1"/>
  <c r="A53" i="1" s="1"/>
  <c r="AJ54" i="1"/>
  <c r="AL54" i="1" s="1"/>
  <c r="A54" i="1" s="1"/>
  <c r="AJ55" i="1"/>
  <c r="AL55" i="1" s="1"/>
  <c r="A55" i="1" s="1"/>
  <c r="AJ29" i="1"/>
  <c r="AL29" i="1" s="1"/>
  <c r="A29" i="1" s="1"/>
  <c r="AJ30" i="1"/>
  <c r="AL30" i="1" s="1"/>
  <c r="A30" i="1" s="1"/>
  <c r="AJ34" i="1"/>
  <c r="AL34" i="1" s="1"/>
  <c r="A34" i="1" s="1"/>
  <c r="AJ208" i="1"/>
  <c r="AL208" i="1" s="1"/>
  <c r="A208" i="1" s="1"/>
  <c r="AJ204" i="1"/>
  <c r="AL204" i="1" s="1"/>
  <c r="A204" i="1" s="1"/>
  <c r="AJ205" i="1"/>
  <c r="AL205" i="1" s="1"/>
  <c r="A205" i="1" s="1"/>
  <c r="AJ207" i="1"/>
  <c r="AL207" i="1" s="1"/>
  <c r="A207" i="1" s="1"/>
  <c r="AJ212" i="1"/>
  <c r="AL212" i="1" s="1"/>
  <c r="A212" i="1" s="1"/>
  <c r="AJ213" i="1"/>
  <c r="AL213" i="1" s="1"/>
  <c r="A213" i="1" s="1"/>
  <c r="AJ198" i="1"/>
  <c r="AL198" i="1" s="1"/>
  <c r="A198" i="1" s="1"/>
  <c r="AJ209" i="1"/>
  <c r="AL209" i="1" s="1"/>
  <c r="A209" i="1" s="1"/>
  <c r="AJ203" i="1"/>
  <c r="AL203" i="1" s="1"/>
  <c r="A203" i="1" s="1"/>
  <c r="AJ59" i="1"/>
  <c r="AL59" i="1" s="1"/>
  <c r="A59" i="1" s="1"/>
  <c r="AJ56" i="1"/>
  <c r="AL56" i="1" s="1"/>
  <c r="A56" i="1" s="1"/>
  <c r="AJ61" i="1"/>
  <c r="AL61" i="1" s="1"/>
  <c r="A61" i="1" s="1"/>
  <c r="AJ62" i="1"/>
  <c r="AL62" i="1" s="1"/>
  <c r="A62" i="1" s="1"/>
  <c r="AJ60" i="1"/>
  <c r="AL60" i="1" s="1"/>
  <c r="A60" i="1" s="1"/>
  <c r="AJ63" i="1"/>
  <c r="AL63" i="1" s="1"/>
  <c r="A63" i="1" s="1"/>
  <c r="AJ64" i="1"/>
  <c r="AL64" i="1" s="1"/>
  <c r="A64" i="1" s="1"/>
  <c r="AJ57" i="1"/>
  <c r="AL57" i="1" s="1"/>
  <c r="A57" i="1" s="1"/>
  <c r="AJ172" i="1"/>
  <c r="AL172" i="1" s="1"/>
  <c r="A172" i="1" s="1"/>
  <c r="AJ169" i="1"/>
  <c r="AL169" i="1" s="1"/>
  <c r="A169" i="1" s="1"/>
  <c r="AJ167" i="1"/>
  <c r="AL167" i="1" s="1"/>
  <c r="A167" i="1" s="1"/>
  <c r="AJ160" i="1"/>
  <c r="AL160" i="1" s="1"/>
  <c r="A160" i="1" s="1"/>
  <c r="AJ165" i="1"/>
  <c r="AL165" i="1" s="1"/>
  <c r="A165" i="1" s="1"/>
  <c r="AJ166" i="1"/>
  <c r="AL166" i="1" s="1"/>
  <c r="A166" i="1" s="1"/>
  <c r="AJ168" i="1"/>
  <c r="AL168" i="1" s="1"/>
  <c r="A168" i="1" s="1"/>
  <c r="AJ134" i="1"/>
  <c r="AL134" i="1" s="1"/>
  <c r="A134" i="1" s="1"/>
  <c r="AJ135" i="1"/>
  <c r="AL135" i="1" s="1"/>
  <c r="A135" i="1" s="1"/>
  <c r="AJ136" i="1"/>
  <c r="AL136" i="1" s="1"/>
  <c r="A136" i="1" s="1"/>
  <c r="B2" i="4" l="1"/>
  <c r="A2" i="4" s="1"/>
  <c r="A2" i="6"/>
  <c r="A2" i="5"/>
  <c r="E2" i="5" s="1"/>
  <c r="B2" i="3"/>
</calcChain>
</file>

<file path=xl/sharedStrings.xml><?xml version="1.0" encoding="utf-8"?>
<sst xmlns="http://schemas.openxmlformats.org/spreadsheetml/2006/main" count="6712" uniqueCount="1054">
  <si>
    <t>ID</t>
  </si>
  <si>
    <t>ALARM_TEXT_KOREA</t>
  </si>
  <si>
    <t>ALARM_TEXT_CHINA</t>
  </si>
  <si>
    <t>ALARM_TEXT_ENGLISH</t>
  </si>
  <si>
    <t>ALARM_TEXT_VIETNAM</t>
  </si>
  <si>
    <t>ALARM_ACTION_TEXT_KOREA</t>
  </si>
  <si>
    <t>ALARM_ACTION_TEXT_CHINA</t>
  </si>
  <si>
    <t>ALARM_ACTION_TEXT_ENGLIST</t>
  </si>
  <si>
    <t>ALARM_ACTION_TEXT_VIETNAM</t>
  </si>
  <si>
    <t>LEVEL</t>
  </si>
  <si>
    <t>UNIT</t>
  </si>
  <si>
    <t>BOX_TYPE</t>
  </si>
  <si>
    <t>BOX_RECTANGLE_X</t>
  </si>
  <si>
    <t>BOX_RECTANGLE_Y</t>
  </si>
  <si>
    <t>BOX_RECTANGLE_WIDTH</t>
  </si>
  <si>
    <t>BOX_RECTANGLE_HEIGHT</t>
  </si>
  <si>
    <t>전 공정 설비 상태 확인해주세요.</t>
  </si>
  <si>
    <t>CHECK THE STATUS OF THE LOWER EQUIPMENT.</t>
  </si>
  <si>
    <t>CHECK THE STATUS OF THE UPPER EQUIPMENT.</t>
  </si>
  <si>
    <t>SQUARE</t>
  </si>
  <si>
    <t>,</t>
  </si>
  <si>
    <t>HEAVY</t>
  </si>
  <si>
    <t>LIGHT</t>
  </si>
  <si>
    <t>CHECK EMERGENCY BUTTON STATUS.</t>
  </si>
  <si>
    <t>SAFETY</t>
  </si>
  <si>
    <t>알람 범위</t>
  </si>
  <si>
    <t>알람 종류</t>
  </si>
  <si>
    <t>세부 범위</t>
    <phoneticPr fontId="1" type="noConversion"/>
  </si>
  <si>
    <t>알람 유닛</t>
  </si>
  <si>
    <t>10000 ~ 29999</t>
    <phoneticPr fontId="1" type="noConversion"/>
  </si>
  <si>
    <t>시퀀스 알람</t>
  </si>
  <si>
    <t>10000 ~ 10499</t>
  </si>
  <si>
    <t>LOAD_EQ_TO_EQ</t>
  </si>
  <si>
    <t>10500 ~ 10999</t>
  </si>
  <si>
    <t>11500 ~ 11999</t>
  </si>
  <si>
    <t>12000 ~ 12499</t>
  </si>
  <si>
    <t>MCR</t>
  </si>
  <si>
    <t>13000 ~ 13499</t>
  </si>
  <si>
    <t>13500 ~ 13999</t>
  </si>
  <si>
    <t>14000 ~ 14499</t>
  </si>
  <si>
    <t>14500 ~ 14999</t>
  </si>
  <si>
    <t>15000 ~ 15499</t>
  </si>
  <si>
    <t>15500 ~ 15999</t>
  </si>
  <si>
    <t>16000 ~ 16499</t>
  </si>
  <si>
    <t>16500 ~ 16999</t>
  </si>
  <si>
    <t>17000 ~ 17499</t>
  </si>
  <si>
    <t>17500 ~ 17999</t>
  </si>
  <si>
    <t>18000 ~ 18499</t>
  </si>
  <si>
    <t>18500 ~ 18999</t>
  </si>
  <si>
    <t>19000 ~ 19499</t>
  </si>
  <si>
    <t>19500 ~ 19999</t>
  </si>
  <si>
    <t>20000 ~ 20499</t>
  </si>
  <si>
    <t>20500 ~ 20999</t>
  </si>
  <si>
    <t>21000 ~ 21499</t>
  </si>
  <si>
    <t>21500 ~ 21999</t>
  </si>
  <si>
    <t>22000 ~ 22499</t>
  </si>
  <si>
    <t>22500 ~ 22999</t>
  </si>
  <si>
    <t>23000 ~ 23499</t>
  </si>
  <si>
    <t>23500 ~ 23999</t>
  </si>
  <si>
    <t>24000 ~ 24499</t>
  </si>
  <si>
    <t>CIM</t>
  </si>
  <si>
    <t>30000 ~ 39999</t>
    <phoneticPr fontId="1" type="noConversion"/>
  </si>
  <si>
    <t>장비 상태 알람</t>
    <phoneticPr fontId="1" type="noConversion"/>
  </si>
  <si>
    <t>40000 ~</t>
    <phoneticPr fontId="1" type="noConversion"/>
  </si>
  <si>
    <t>기타 알람</t>
  </si>
  <si>
    <t>50000 ~</t>
    <phoneticPr fontId="1" type="noConversion"/>
  </si>
  <si>
    <t>메시지</t>
    <phoneticPr fontId="1" type="noConversion"/>
  </si>
  <si>
    <t>PLC Signal Nomal IO Check</t>
    <phoneticPr fontId="1" type="noConversion"/>
  </si>
  <si>
    <t>MAIN_AIR_PRESSURE_SENSOR_ALARM</t>
  </si>
  <si>
    <t xml:space="preserve">Hãy kiểm tra tình trạng thiết bị công đoạn sau </t>
  </si>
  <si>
    <t xml:space="preserve">Hãy kiểm tra tình trạng nút dừng khẩn cấp </t>
  </si>
  <si>
    <t>Hãy kiểm tra giá trị khí nén chính ( Main Air Pressure Sensor or Main Air )</t>
  </si>
  <si>
    <t>Do SAFETY PLC phát sinh vấn đề nên nguồn điện thiết bị MAGNET đã bị OFF</t>
  </si>
  <si>
    <t>Áp suất khí nén chính ( MAIN_AIR ) thấp hơn giá trị đặt.</t>
  </si>
  <si>
    <t xml:space="preserve">Hãy kiểm tra tình trạng thiết bị ở công đoạn trước </t>
  </si>
  <si>
    <t>/// &lt;/summary&gt;</t>
    <phoneticPr fontId="1" type="noConversion"/>
  </si>
  <si>
    <t>/// &lt;summary&gt;</t>
    <phoneticPr fontId="1" type="noConversion"/>
  </si>
  <si>
    <t xml:space="preserve">/// </t>
    <phoneticPr fontId="1" type="noConversion"/>
  </si>
  <si>
    <t>//////////////////////////////////////////////////////////////////////////</t>
  </si>
  <si>
    <t xml:space="preserve">// </t>
    <phoneticPr fontId="1" type="noConversion"/>
  </si>
  <si>
    <t>No</t>
    <phoneticPr fontId="1" type="noConversion"/>
  </si>
  <si>
    <t>ALID</t>
    <phoneticPr fontId="1" type="noConversion"/>
  </si>
  <si>
    <t>ALCD</t>
    <phoneticPr fontId="1" type="noConversion"/>
  </si>
  <si>
    <t>ALTX</t>
    <phoneticPr fontId="1" type="noConversion"/>
  </si>
  <si>
    <t>EQP &amp; MODULEID</t>
    <phoneticPr fontId="1" type="noConversion"/>
  </si>
  <si>
    <t>발생 UNITID</t>
    <phoneticPr fontId="1" type="noConversion"/>
  </si>
  <si>
    <t>Description</t>
    <phoneticPr fontId="1" type="noConversion"/>
  </si>
  <si>
    <t xml:space="preserve"> </t>
    <phoneticPr fontId="1" type="noConversion"/>
  </si>
  <si>
    <t>ALID</t>
  </si>
  <si>
    <t>ALCD</t>
  </si>
  <si>
    <t>ALTX</t>
  </si>
  <si>
    <t>DESCRIPTION</t>
  </si>
  <si>
    <t>ENABLED</t>
  </si>
  <si>
    <t>29000 ~ 29499</t>
    <phoneticPr fontId="1" type="noConversion"/>
  </si>
  <si>
    <t>29500 ~ 29999</t>
    <phoneticPr fontId="1" type="noConversion"/>
  </si>
  <si>
    <t>HEAVY</t>
    <phoneticPr fontId="1" type="noConversion"/>
  </si>
  <si>
    <t>28500 ~ 28999</t>
    <phoneticPr fontId="1" type="noConversion"/>
  </si>
  <si>
    <t>28000 ~ 28499</t>
    <phoneticPr fontId="1" type="noConversion"/>
  </si>
  <si>
    <t>ETC</t>
    <phoneticPr fontId="1" type="noConversion"/>
  </si>
  <si>
    <t>MESSAGE</t>
    <phoneticPr fontId="1" type="noConversion"/>
  </si>
  <si>
    <t>50000 ~</t>
    <phoneticPr fontId="1" type="noConversion"/>
  </si>
  <si>
    <t>30000 ~ 30999</t>
    <phoneticPr fontId="1" type="noConversion"/>
  </si>
  <si>
    <t>31000 ~ 31999</t>
    <phoneticPr fontId="1" type="noConversion"/>
  </si>
  <si>
    <t>ID Offset</t>
    <phoneticPr fontId="1" type="noConversion"/>
  </si>
  <si>
    <t>ID Base</t>
    <phoneticPr fontId="1" type="noConversion"/>
  </si>
  <si>
    <t xml:space="preserve"> </t>
  </si>
  <si>
    <t>EM_LOWER_EQUIPMENT_N_EMERGENCY_STATE</t>
  </si>
  <si>
    <t>VC_MAIN_AIR_MAIN_N_SUPPLY</t>
  </si>
  <si>
    <t>CO_TRANSFER_CIM_N_HOST_DISCONNECTED</t>
  </si>
  <si>
    <t>CO_TRANSFER_CIM_N_CIM_DISCONNECTED</t>
  </si>
  <si>
    <t>VA_TRANSFER_CIM_P1_TRACKING_FAILED</t>
  </si>
  <si>
    <t>VA_TRANSFER_CIM_P1_TRACKING_TIMEOUT</t>
  </si>
  <si>
    <t>VA_TRANSFER_CIM_P1_TRACKING_MISSMATCH</t>
  </si>
  <si>
    <t>P1 트랙킹에 실패했습니다</t>
  </si>
  <si>
    <t>P1 트랙킹 시간이 초과했습니다</t>
  </si>
  <si>
    <t>P1 트랙킹 CELL ID와 JOB PROCESS REQUEST CELL ID와 다릅니다</t>
  </si>
  <si>
    <t>P1 셀 정보 다운로드에 실패했습니다</t>
  </si>
  <si>
    <t>P1 셀 정보 다운로드 시간이 초과했습니다</t>
  </si>
  <si>
    <t>P1 셀 정보 다운로드 CELL ID와 JOB PROCESS REQUEST CELL ID와 다릅니다</t>
  </si>
  <si>
    <t>P1 CELL INFORMATION DOWNLOAD_FAILED</t>
  </si>
  <si>
    <t>P1 CELL INFORMATION DOWNLOAD_TIME_OUT</t>
  </si>
  <si>
    <t>P1 CELL INFORMATION DOWNLOAD_CELL_ID_NOT_MATCH</t>
  </si>
  <si>
    <t>P1 TRACKING_FAILED</t>
  </si>
  <si>
    <t>P1 TRACKING_TIME_OUT</t>
  </si>
  <si>
    <t>P1 TRACKING_CELL_ID_NOT_MATCH</t>
  </si>
  <si>
    <t>VA_TRANSFER_CIM_P1_CELL_INFORMATION_DOWNLOAD_FAILED</t>
  </si>
  <si>
    <t>VA_TRANSFER_CIM_P1_CELL_INFORMATION_DOWNLOAD_TIMEOUT</t>
  </si>
  <si>
    <t>VA_TRANSFER_CIM_P1_CELL_INFORMATION_DOWNLOAD_MISSMATCH</t>
  </si>
  <si>
    <t>,</t>
    <phoneticPr fontId="1" type="noConversion"/>
  </si>
  <si>
    <t>CO_MAIN_DEVICE_GMS_DISCONNECTED</t>
  </si>
  <si>
    <t>접지 저항 측정기 연결이 끊어졌습니다.</t>
  </si>
  <si>
    <t>GMS_IS_DISCONNECTED</t>
  </si>
  <si>
    <t>Check the equipment GMS.</t>
  </si>
  <si>
    <t>CO_MAIN_DEVICE_MCU_DISCONNECTED</t>
  </si>
  <si>
    <t>FFU컨트롤러 연결이 끊어졌습니다.</t>
  </si>
  <si>
    <t>MCU_IS_DISCONNECTED</t>
  </si>
  <si>
    <t>Check the equipment MCU.</t>
  </si>
  <si>
    <t>THERE_WAS_A_SILENT_STOP_AT_THE_EQUIPMENT</t>
  </si>
  <si>
    <t>CHECK THE EQUIPMENT STATUS.</t>
    <phoneticPr fontId="1" type="noConversion"/>
  </si>
  <si>
    <t>Please change the unit to active in the equipment.</t>
  </si>
  <si>
    <t>CIM</t>
    <phoneticPr fontId="1" type="noConversion"/>
  </si>
  <si>
    <t>HOST_IS_DISCONNECTED</t>
    <phoneticPr fontId="1" type="noConversion"/>
  </si>
  <si>
    <t>세이프티 PLC 문제 발생하여 설비 MAGNET 전원이 OFF 되었습니다</t>
    <phoneticPr fontId="1" type="noConversion"/>
  </si>
  <si>
    <t>EQUIPMENT_GPS_MC_POWER_OFF</t>
    <phoneticPr fontId="1" type="noConversion"/>
  </si>
  <si>
    <t>설비에 모든 유닛이 정지 상태입니다</t>
    <phoneticPr fontId="1" type="noConversion"/>
  </si>
  <si>
    <t>LIGHT</t>
    <phoneticPr fontId="1" type="noConversion"/>
  </si>
  <si>
    <t>CHECK DOOR LOCK STATUS.</t>
    <phoneticPr fontId="1" type="noConversion"/>
  </si>
  <si>
    <t>TC 연결 상태를 확인해주세요.</t>
    <phoneticPr fontId="1" type="noConversion"/>
  </si>
  <si>
    <t>CIM 통신 연결이 끊겼습니다</t>
    <phoneticPr fontId="1" type="noConversion"/>
  </si>
  <si>
    <t>CIM 연결 상태를 확인해주세요.</t>
    <phoneticPr fontId="1" type="noConversion"/>
  </si>
  <si>
    <t>ALTX</t>
    <phoneticPr fontId="1" type="noConversion"/>
  </si>
  <si>
    <t>UPPER_EQUIPMENT_EMERGENCY_SIGNAL_ON</t>
    <phoneticPr fontId="1" type="noConversion"/>
  </si>
  <si>
    <t>MO_TRANSFER_ROBOT_IN_N_INITIALIZE</t>
  </si>
  <si>
    <t>IN로봇 초기화 동작에 실패 했습니다</t>
  </si>
  <si>
    <t>IN_ROBOT_INITIALIZE_FAILED</t>
  </si>
  <si>
    <t>IN로봇 상태를 확인해 주세요.</t>
  </si>
  <si>
    <t>IN_ROBOT</t>
    <phoneticPr fontId="1" type="noConversion"/>
  </si>
  <si>
    <t>MO_TRANSFER_ROBOT_IN_PROCESS_SKIP</t>
  </si>
  <si>
    <t>IN로봇 동작중인 프로세스 스킵에 실패 했습니다</t>
  </si>
  <si>
    <t>IN_ROBOT_RUN_PROCESS_SKIP_FAILED</t>
  </si>
  <si>
    <t>CHECK THE STATUS OF IN ROBOT.</t>
  </si>
  <si>
    <t>CO_TRANSFER_ROBOT_IN_ALIGN_DATA</t>
  </si>
  <si>
    <t>IN로봇 얼라인 데이터 전송에 실패 했습니다</t>
  </si>
  <si>
    <t>IN_ROBOT_ALIGN_DATA_SEND_FAILED</t>
  </si>
  <si>
    <t>CO_TRANSFER_ROBOT_IN_RESET_DATA</t>
  </si>
  <si>
    <t>IN로봇 얼라인 초기화 데이터 전송에 실패 했습니다</t>
  </si>
  <si>
    <t>IN_ROBOT_ALIGN_ZERO_DATA_SEND_FAILED</t>
  </si>
  <si>
    <t>CO_TRANSFER_ROBOT_IN_CALIBRATION_DATA</t>
  </si>
  <si>
    <t>IN로봇 켈리브레이션 데이터 전송에 실패 했습니다</t>
  </si>
  <si>
    <t>IN_ROBOT_CALIBRATION_DATA_SEND_FAILED</t>
  </si>
  <si>
    <t>HOST 통신 연결이 끊겼습니다</t>
    <phoneticPr fontId="1" type="noConversion"/>
  </si>
  <si>
    <t>CHECK THE TC CONNECTION STATUS.</t>
    <phoneticPr fontId="1" type="noConversion"/>
  </si>
  <si>
    <t>CIM_IS_DISCONNECTED</t>
    <phoneticPr fontId="1" type="noConversion"/>
  </si>
  <si>
    <t>CHECK THE CIM CONNECTION STATUS.</t>
    <phoneticPr fontId="1" type="noConversion"/>
  </si>
  <si>
    <t>,</t>
    <phoneticPr fontId="1" type="noConversion"/>
  </si>
  <si>
    <t>비상 정지 버튼 상태를 확인해주세요.</t>
    <phoneticPr fontId="1" type="noConversion"/>
  </si>
  <si>
    <t>ALL_UNITS_IN_THE_EQUIPMENT_WAS_STOPPED</t>
    <phoneticPr fontId="1" type="noConversion"/>
  </si>
  <si>
    <t>ALL_UNITS_IN_THE_EQUIPMENT_WAS_STOPPED</t>
    <phoneticPr fontId="1" type="noConversion"/>
  </si>
  <si>
    <t>메인 공압이 설정 값보다 낮아졌습니다</t>
    <phoneticPr fontId="1" type="noConversion"/>
  </si>
  <si>
    <t xml:space="preserve">Main Air Pressure Sensor or Main Air Check </t>
    <phoneticPr fontId="1" type="noConversion"/>
  </si>
  <si>
    <t>HEAVY</t>
    <phoneticPr fontId="1" type="noConversion"/>
  </si>
  <si>
    <t>설비에서 무언 정지가 발생 했습니다</t>
    <phoneticPr fontId="1" type="noConversion"/>
  </si>
  <si>
    <t>IN_ROBOT</t>
  </si>
  <si>
    <t>UNLOAD_EQ_TO_EQ</t>
  </si>
  <si>
    <t>MACHINE_STATE</t>
  </si>
  <si>
    <t>ALTX</t>
    <phoneticPr fontId="1" type="noConversion"/>
  </si>
  <si>
    <t>ID</t>
    <phoneticPr fontId="1" type="noConversion"/>
  </si>
  <si>
    <t>LOAD_EQ_TO_EQ</t>
    <phoneticPr fontId="1" type="noConversion"/>
  </si>
  <si>
    <t>IN_ROBOT</t>
    <phoneticPr fontId="1" type="noConversion"/>
  </si>
  <si>
    <t>IN_ROBOT</t>
    <phoneticPr fontId="1" type="noConversion"/>
  </si>
  <si>
    <t>HEAVY</t>
    <phoneticPr fontId="1" type="noConversion"/>
  </si>
  <si>
    <t>HEAVY</t>
    <phoneticPr fontId="1" type="noConversion"/>
  </si>
  <si>
    <t>LOWER_EQUIPMENT_EMERGENCY_SIGNAL_ON</t>
    <phoneticPr fontId="1" type="noConversion"/>
  </si>
  <si>
    <t>LOWER_EQUIPMENT_EMERGENCY_SIGNAL_ON</t>
    <phoneticPr fontId="1" type="noConversion"/>
  </si>
  <si>
    <t>후 공정 설비 상태 확인해주세요.</t>
    <phoneticPr fontId="1" type="noConversion"/>
  </si>
  <si>
    <t>UNLOAD_EQ_TO_EQ</t>
    <phoneticPr fontId="1" type="noConversion"/>
  </si>
  <si>
    <t>LIGHT</t>
    <phoneticPr fontId="1" type="noConversion"/>
  </si>
  <si>
    <t>,</t>
    <phoneticPr fontId="1" type="noConversion"/>
  </si>
  <si>
    <t>설비에 유닛을 사용 상태로 변경해 주십시오.</t>
    <phoneticPr fontId="1" type="noConversion"/>
  </si>
  <si>
    <t>메인 공압 값을 확인해주세요.</t>
    <phoneticPr fontId="1" type="noConversion"/>
  </si>
  <si>
    <t>LIGHT</t>
    <phoneticPr fontId="1" type="noConversion"/>
  </si>
  <si>
    <t>,</t>
    <phoneticPr fontId="1" type="noConversion"/>
  </si>
  <si>
    <t>도어락 상태를 확인해주세요.</t>
    <phoneticPr fontId="1" type="noConversion"/>
  </si>
  <si>
    <t>CHECK DOOR LOCK STATUS.</t>
    <phoneticPr fontId="1" type="noConversion"/>
  </si>
  <si>
    <t>,</t>
    <phoneticPr fontId="1" type="noConversion"/>
  </si>
  <si>
    <t>설비 상태를 확인해주세요.</t>
    <phoneticPr fontId="1" type="noConversion"/>
  </si>
  <si>
    <t>ETC</t>
    <phoneticPr fontId="1" type="noConversion"/>
  </si>
  <si>
    <t>MCR</t>
    <phoneticPr fontId="1" type="noConversion"/>
  </si>
  <si>
    <t>LIGHT</t>
    <phoneticPr fontId="1" type="noConversion"/>
  </si>
  <si>
    <t>HEAVY</t>
    <phoneticPr fontId="1" type="noConversion"/>
  </si>
  <si>
    <t>OUT_ROBOT_ALIGN_ZERO_DATA_SEND_FAILED</t>
  </si>
  <si>
    <t>11000 ~ 11499</t>
    <phoneticPr fontId="1" type="noConversion"/>
  </si>
  <si>
    <t>MO_TRANSFER_ROBOT_IN_ENTER_JCM_MODE</t>
  </si>
  <si>
    <t xml:space="preserve">IN로봇 JCM 모드 진입(ENTER)에 실패 했습니다. </t>
  </si>
  <si>
    <t>IN_ROBOT_ENTER_JCM_MODE_FAILED</t>
  </si>
  <si>
    <t>MO_TRANSFER_ROBOT_IN_JCM_MODE_MOVE</t>
  </si>
  <si>
    <t>IN로봇 JCM 모드 이동(MOVE)에 실패 했습니다.</t>
  </si>
  <si>
    <t>IN_ROBOT_JCM_MODE_MOVE_FAILED</t>
  </si>
  <si>
    <t>MO_TRANSFER_ROBOT_IN_EXIT_JCM_MODE</t>
  </si>
  <si>
    <t xml:space="preserve">IN로봇 JCM 모드 출입(EXIT)에 실패 했습니다. </t>
  </si>
  <si>
    <t>IN_ROBOT_EXIT_JCM_MODE_FAILED</t>
  </si>
  <si>
    <t>SE_TRANSFER_ROBOT_IN_P1_VACUUM_CHECK</t>
  </si>
  <si>
    <t>IN로봇 P1 셀 확인에 실패 했습니다 (진공)</t>
  </si>
  <si>
    <t>IN_ROBOT_P1_CELL_VACUUM_CHECK_FAILED</t>
  </si>
  <si>
    <t>SE_TRANSFER_ROBOT_IN_P1_SENSOR_CHECK</t>
  </si>
  <si>
    <t>IN로봇 P1 셀 확인에 실패 했습니다 (센서)</t>
  </si>
  <si>
    <t>IN_ROBOT_P1_CELL_SENSOR_CHECK_FAILED</t>
  </si>
  <si>
    <t>SE_TRANSFER_ROBOT_IN_P1_VACUUM_OVERLAP</t>
  </si>
  <si>
    <t>IN로봇 P1 셀 겹침 확인되었습니다 (진공)</t>
  </si>
  <si>
    <t>IN_ROBOT_P1_CELL_VACUUM_OVERLAP_FAILED</t>
  </si>
  <si>
    <t>SE_TRANSFER_ROBOT_IN_P1_SENSOR_OVERLAP</t>
  </si>
  <si>
    <t>IN_ROBOT_P1_CELL_SENSOR_OVERLAP_FAILED</t>
  </si>
  <si>
    <t>IN로봇 P1 진공 상태를 확인해주세요.</t>
  </si>
  <si>
    <t>CHECK THE VACUUM STATUS OF THE IN ROBOT P1.</t>
  </si>
  <si>
    <t>IN로봇 P1 패널 상태를 확인해주세요.</t>
  </si>
  <si>
    <t>CHECK THE PANEL STATUS OF THE IN ROBOT P1.</t>
  </si>
  <si>
    <t>UT_MAIN_MCU_FFU_1_STOP</t>
  </si>
  <si>
    <t>MAIN_MCU_GROUP_FFU_1_STOP_ALARM</t>
  </si>
  <si>
    <t>MAIN MCU를 확인해주세요.</t>
  </si>
  <si>
    <t>Check the main MCU.</t>
  </si>
  <si>
    <t>MAIN MCU 그룹에 FFU#1에 FAN에 알람이 발생했습니다</t>
    <phoneticPr fontId="1" type="noConversion"/>
  </si>
  <si>
    <t>MAIN_MCU_GROUP_FFU_1_ALARM_OCCURRED</t>
    <phoneticPr fontId="1" type="noConversion"/>
  </si>
  <si>
    <t>셀의 손상 유무를 확인 하세요</t>
  </si>
  <si>
    <t>CHECK THE CELL FOR DAMAGE</t>
  </si>
  <si>
    <t>ETC</t>
  </si>
  <si>
    <t>비상 정지 버튼 상태를 확인해주세요.</t>
    <phoneticPr fontId="1" type="noConversion"/>
  </si>
  <si>
    <t>HEAVY</t>
    <phoneticPr fontId="1" type="noConversion"/>
  </si>
  <si>
    <t>,</t>
    <phoneticPr fontId="1" type="noConversion"/>
  </si>
  <si>
    <t>IN로봇 팬던트에 비상 정지 버튼이 눌렸습니다</t>
    <phoneticPr fontId="1" type="noConversion"/>
  </si>
  <si>
    <t>IN로봇 컨트롤러에 비상 정지 버튼이 눌렸습니다</t>
    <phoneticPr fontId="1" type="noConversion"/>
  </si>
  <si>
    <t>IN_ROBOT_PENDANT_EMERGENCY_SWITCH_PUSH</t>
    <phoneticPr fontId="1" type="noConversion"/>
  </si>
  <si>
    <t>IN_ROBOT_CONTROLLER_EMERGENCY_SWITCH_PUSH</t>
    <phoneticPr fontId="1" type="noConversion"/>
  </si>
  <si>
    <t>MO_TRANSFER_ROBOT_IN_MCR_BEGIN</t>
  </si>
  <si>
    <t>MO_TRANSFER_ROBOT_IN_MCR_PERMIT</t>
  </si>
  <si>
    <t>MO_TRANSFER_ROBOT_IN_MCR_EXIT</t>
  </si>
  <si>
    <t>IN로봇 MCR 프로세스 진입에 실패 했습니다</t>
  </si>
  <si>
    <t>IN로봇 MCR 프로세스 퍼밋 동작에 실패 했습니다</t>
  </si>
  <si>
    <t>IN로봇 MCR 프로세스 종료에 실패 했습니다</t>
  </si>
  <si>
    <t>IN_ROBOT_MCR_PROCESS_BEGIN_FAILED</t>
  </si>
  <si>
    <t>IN_ROBOT_MCR_PROCESS_EXIT_FAILED</t>
  </si>
  <si>
    <t>VI_LOADER_MCR_P1_GRAB_TIMEOUT</t>
  </si>
  <si>
    <t>VI_LOADER_MCR_P1_RESULT_TIMEOUT</t>
  </si>
  <si>
    <t>VI_LOADER_MCR_P1_CONTINUOUS_FAILURE</t>
  </si>
  <si>
    <t>MCR P1 촬상에 실패 했습니다</t>
  </si>
  <si>
    <t>MCR P1 결과 대기 시간을 초과 했습니다</t>
  </si>
  <si>
    <t>MCR P1 촬상을 연속으로 실패 했습니다</t>
  </si>
  <si>
    <t>MCR_P1_GRAB_FAILED</t>
  </si>
  <si>
    <t>MCR_P1_WAIT_RESULT_TIME_OUT</t>
  </si>
  <si>
    <t>MCR_P1_GRAB_SUCCESSIVELY_FAILED</t>
  </si>
  <si>
    <t>Không thể chụp MCR_P1_GRAB</t>
  </si>
  <si>
    <r>
      <t>Đã v</t>
    </r>
    <r>
      <rPr>
        <sz val="11"/>
        <color theme="1"/>
        <rFont val="맑은 고딕"/>
        <family val="1"/>
        <scheme val="major"/>
      </rPr>
      <t>ư</t>
    </r>
    <r>
      <rPr>
        <sz val="11"/>
        <color theme="1"/>
        <rFont val="맑은 고딕"/>
        <family val="1"/>
        <charset val="163"/>
        <scheme val="major"/>
      </rPr>
      <t>ợt quá thời gian chờ kết quả MCR P1</t>
    </r>
  </si>
  <si>
    <t>MCR 상태를 확인해주세요.</t>
    <phoneticPr fontId="1" type="noConversion"/>
  </si>
  <si>
    <t>CHECK THE STATUS OF MCR EQUIPMENT.</t>
    <phoneticPr fontId="1" type="noConversion"/>
  </si>
  <si>
    <t xml:space="preserve">Hãy kiểm tra tình trạng MCR </t>
    <phoneticPr fontId="1" type="noConversion"/>
  </si>
  <si>
    <t>,</t>
    <phoneticPr fontId="1" type="noConversion"/>
  </si>
  <si>
    <t>ELECTRONIC_BOX_OVER_40_TEMPERATURE_DEGREE</t>
  </si>
  <si>
    <t>CHECK EMERGENCY BUTTON STATUS.</t>
    <phoneticPr fontId="1" type="noConversion"/>
  </si>
  <si>
    <t>MAIN MCU 그룹에 FFU#1에 FAN이 정지했습니다</t>
    <phoneticPr fontId="1" type="noConversion"/>
  </si>
  <si>
    <t>PRE_ALIGN_VISION</t>
    <phoneticPr fontId="1" type="noConversion"/>
  </si>
  <si>
    <t>PRE_ALIGN_VISION</t>
    <phoneticPr fontId="1" type="noConversion"/>
  </si>
  <si>
    <t>ELECTRONICBOX_TEMPERATURE_DISCONNECTED</t>
  </si>
  <si>
    <t>VC_TRANSFER_ROBOT_IN_P1_VACUUM</t>
  </si>
  <si>
    <t>VC_TRANSFER_ROBOT_IN_P1_BLOW</t>
  </si>
  <si>
    <t>UT_MAIN_SAFETYPLC_GPS_MC_POWER_OFF</t>
  </si>
  <si>
    <t>OP_MAIN_UNIT_ALL_STOP</t>
  </si>
  <si>
    <t>UT_MAIN_MCU_FFU_1_ALARM_OCCURRED</t>
  </si>
  <si>
    <t>EM_TRANSFER_ROBOT_IN_PENDANT_EMS</t>
  </si>
  <si>
    <t>EF_PREFORM4_MAIN_EQUIPMENT_SILENT_STOP</t>
  </si>
  <si>
    <t>P1 TRACKING_TIME_OUT</t>
    <phoneticPr fontId="1" type="noConversion"/>
  </si>
  <si>
    <t>EM_UPPER_EQUIPMENT_DOOR_OPEN</t>
  </si>
  <si>
    <t>UPPER_EQUIPMENT_DOOR_OPEN</t>
  </si>
  <si>
    <t>EM_LOWER_EQUIPMENT_DOOR_OPEN</t>
  </si>
  <si>
    <t>LOWER_EQUIPMENT_DOOR_OPEN</t>
  </si>
  <si>
    <t>후 공정 설비 상태 확인해주세요.</t>
  </si>
  <si>
    <t>IN_ROBOT</t>
    <phoneticPr fontId="1" type="noConversion"/>
  </si>
  <si>
    <t>EF_IN_ROBOT_CELL_DAMAGED_CHECK</t>
    <phoneticPr fontId="1" type="noConversion"/>
  </si>
  <si>
    <t>CHECK_THE_CELL_FOR_DAMAGE(IN ROBOT)</t>
    <phoneticPr fontId="1" type="noConversion"/>
  </si>
  <si>
    <t>IN_SHUTTLE</t>
    <phoneticPr fontId="1" type="noConversion"/>
  </si>
  <si>
    <t>OUT_ROBOT</t>
    <phoneticPr fontId="1" type="noConversion"/>
  </si>
  <si>
    <t>INSPECT_VISION</t>
    <phoneticPr fontId="1" type="noConversion"/>
  </si>
  <si>
    <t>MO_IN_SHUTTLE_X1_HOME_MOTION</t>
  </si>
  <si>
    <t>VC_IN_SHUTTLE_P1_VACUUM</t>
  </si>
  <si>
    <t>VC_IN_SHUTTLE_P1_BLOW</t>
  </si>
  <si>
    <t>SE_IN_SHUTTLE_P1_VACUUM_CHECK</t>
  </si>
  <si>
    <t>SE_IN_SHUTTLE_P1_VACUUM_OVERLAP</t>
  </si>
  <si>
    <t>SE_IN_SHUTTLE_P1_SENSOR_OVERLAP</t>
  </si>
  <si>
    <t>IN_SHUTTLE_X1_AXIS_HOME_MOTION_FAILED</t>
  </si>
  <si>
    <t>IN_SHUTTLE_P1_VACUUM_FAILED</t>
  </si>
  <si>
    <t>IN_SHUTTLE_P1_BLOW_FAILED</t>
  </si>
  <si>
    <t>IN_SHUTTLE_P1_CELL_VACUUM_CHECK_FAILED</t>
  </si>
  <si>
    <t>IN_SHUTTLE_P1_CELL_SENSOR_CHECK_FAILED</t>
  </si>
  <si>
    <t>IN_SHUTTLE_P1_CELL_VACUUM_OVERLAP_FAILED</t>
  </si>
  <si>
    <t>IN_SHUTTLE_P1_CELL_SENSOR_OVERLAP_FAILED</t>
  </si>
  <si>
    <t xml:space="preserve">IN_SHUTTLE trục X1 HOME không hoạt động </t>
  </si>
  <si>
    <t>CHECK THE DRIVER STATUS OF THE IN SHUTTLE X1 AXIS AND THEN HOME OPERATION.</t>
  </si>
  <si>
    <t>CHECK THE DRIVER STATUS OF THE IN SHUTTLE X1 AXIS.</t>
  </si>
  <si>
    <t>CHECK THE VACUUM STATUS OF THE IN SHUTTLE P1.</t>
  </si>
  <si>
    <t>CHECK THE PANNEL STATUS OF THE IN SHUTTLE P1.</t>
  </si>
  <si>
    <t>Sau khi kiểm tra tình trạng  DRIVER trục X1 -  IN SHUTTLE hãy tiến hành chạy HOME .</t>
  </si>
  <si>
    <t>Hãy kiểm tra DRIVER  trục X1 - IN SHUTTLE.</t>
  </si>
  <si>
    <t>IN_SHUTTLE</t>
    <phoneticPr fontId="1" type="noConversion"/>
  </si>
  <si>
    <t>IN_SHUTTLE</t>
    <phoneticPr fontId="1" type="noConversion"/>
  </si>
  <si>
    <t>IN_SHUTTLE</t>
    <phoneticPr fontId="1" type="noConversion"/>
  </si>
  <si>
    <t>IN_SHUTTLE</t>
    <phoneticPr fontId="1" type="noConversion"/>
  </si>
  <si>
    <t>IN_SHUTTLE</t>
    <phoneticPr fontId="1" type="noConversion"/>
  </si>
  <si>
    <t>IN로봇 피커 P1 흡착에 실패 했습니다</t>
  </si>
  <si>
    <t>IN로봇 피커 P1 파기에 실패 했습니다</t>
  </si>
  <si>
    <t>IN로봇 P1 셀 겹침 확인되었습니다 (센서)</t>
  </si>
  <si>
    <t>IN_ROBOT_P1_VACUUM_FAILED</t>
  </si>
  <si>
    <t>IN_ROBOT_P1_BLOW_FAILED</t>
  </si>
  <si>
    <t>IN로봇 진공 P1 상태를 확인해주세요.</t>
  </si>
  <si>
    <t>CHECK THE VACUUM STATUS OF IN ROBOT P1.</t>
  </si>
  <si>
    <t>VC_INSP_STAGE_P1_VACUUM</t>
  </si>
  <si>
    <t>VC_INSP_STAGE_P1_BLOW</t>
  </si>
  <si>
    <t>SE_INSP_STAGE_P1_VACUUM_CHECK</t>
  </si>
  <si>
    <t>SE_INSP_STAGE_P1_SENSOR_CHECK</t>
  </si>
  <si>
    <t>SE_INSP_STAGE_P1_VACUUM_OVERLAP</t>
  </si>
  <si>
    <t>SE_INSP_STAGE_P1_SENSOR_OVERLAP</t>
  </si>
  <si>
    <t>OUT_ROBOT</t>
    <phoneticPr fontId="1" type="noConversion"/>
  </si>
  <si>
    <t>MO_TRANSFER_ROBOT_OUT_N_INITIALIZE</t>
  </si>
  <si>
    <t>MO_TRANSFER_ROBOT_OUT_PROCESS_SKIP</t>
  </si>
  <si>
    <t>MO_TRANSFER_ROBOT_OUT_ENTER_JCM_MODE</t>
  </si>
  <si>
    <t>MO_TRANSFER_ROBOT_OUT_JCM_MODE_MOVE</t>
  </si>
  <si>
    <t>MO_TRANSFER_ROBOT_OUT_EXIT_JCM_MODE</t>
  </si>
  <si>
    <t>VC_TRANSFER_ROBOT_OUT_P1_VACUUM</t>
  </si>
  <si>
    <t>SE_TRANSFER_ROBOT_OUT_P1_VACUUM_CHECK</t>
  </si>
  <si>
    <t>SE_TRANSFER_ROBOT_OUT_P1_SENSOR_CHECK</t>
  </si>
  <si>
    <t>SE_TRANSFER_ROBOT_OUT_P1_VACUUM_OVERLAP</t>
  </si>
  <si>
    <t>SE_TRANSFER_ROBOT_OUT_P1_SENSOR_OVERLAP</t>
  </si>
  <si>
    <t>CO_TRANSFER_ROBOT_OUT_ALIGN_DATA</t>
  </si>
  <si>
    <t>CO_TRANSFER_ROBOT_OUT_RESET_DATA</t>
  </si>
  <si>
    <t>CO_TRANSFER_ROBOT_OUT_CALIBRATION_DATA</t>
  </si>
  <si>
    <t>OUT로봇 초기화 동작에 실패 했습니다</t>
  </si>
  <si>
    <t>OUT로봇 동작중인 프로세스 스킵에 실패 했습니다</t>
  </si>
  <si>
    <t xml:space="preserve">OUT로봇 JCM 모드 진입(ENTER)에 실패 했습니다. </t>
  </si>
  <si>
    <t>OUT로봇 JCM 모드 이동(MOVE)에 실패 했습니다.</t>
  </si>
  <si>
    <t xml:space="preserve">OUT로봇 JCM 모드 출입(EXIT)에 실패 했습니다. </t>
  </si>
  <si>
    <t>OUT로봇 피커 P1 흡착에 실패 했습니다</t>
  </si>
  <si>
    <t>OUT로봇 피커 P1 파기에 실패 했습니다</t>
  </si>
  <si>
    <t>OUT로봇 P1 셀 확인에 실패 했습니다 (진공)</t>
  </si>
  <si>
    <t>OUT로봇 P1 셀 확인에 실패 했습니다 (센서)</t>
  </si>
  <si>
    <t>OUT로봇 P1 셀 겹침 확인되었습니다 (진공)</t>
  </si>
  <si>
    <t>OUT로봇 P1 셀 겹침 확인되었습니다 (센서)</t>
  </si>
  <si>
    <t>OUT로봇 얼라인 데이터 전송에 실패 했습니다</t>
  </si>
  <si>
    <t>OUT로봇 얼라인 초기화 데이터 전송에 실패 했습니다</t>
  </si>
  <si>
    <t>OUT로봇 켈리브레이션 데이터 전송에 실패 했습니다</t>
  </si>
  <si>
    <t>OUT_ROBOT_INITIALIZE_FAILED</t>
  </si>
  <si>
    <t>OUT_ROBOT_RUN_PROCESS_SKIP_FAILED</t>
  </si>
  <si>
    <t>OUT_ROBOT_ENTER_JCM_MODE_FAILED</t>
  </si>
  <si>
    <t>OUT_ROBOT_JCM_MODE_MOVE_FAILED</t>
  </si>
  <si>
    <t>OUT_ROBOT_EXIT_JCM_MODE_FAILED</t>
  </si>
  <si>
    <t>OUT_ROBOT_P1_VACUUM_FAILED</t>
  </si>
  <si>
    <t>OUT_ROBOT_P1_BLOW_FAILED</t>
  </si>
  <si>
    <t>OUT_ROBOT_P1_CELL_VACUUM_CHECK_FAILED</t>
  </si>
  <si>
    <t>OUT_ROBOT_P1_CELL_SENSOR_CHECK_FAILED</t>
  </si>
  <si>
    <t>OUT_ROBOT_P1_CELL_VACUUM_OVERLAP_FAILED</t>
  </si>
  <si>
    <t>OUT_ROBOT_P1_CELL_SENSOR_OVERLAP_FAILED</t>
  </si>
  <si>
    <t>OUT_ROBOT_ALIGN_DATA_SEND_FAILED</t>
  </si>
  <si>
    <t>OUT_ROBOT_CALIBRATION_DATA_SEND_FAILED</t>
  </si>
  <si>
    <t>OUT로봇 상태를 확인해 주세요.</t>
  </si>
  <si>
    <t>OUT로봇 진공 P1 상태를 확인해주세요.</t>
  </si>
  <si>
    <t>OUT로봇 P1 진공 상태를 확인해주세요.</t>
  </si>
  <si>
    <t>OUT로봇 P1 패널 상태를 확인해주세요.</t>
  </si>
  <si>
    <t>CHECK THE STATUS OF OUT ROBOT.</t>
  </si>
  <si>
    <t>CHECK THE VACUUM STATUS OF OUT ROBOT P1.</t>
  </si>
  <si>
    <t>CHECK THE VACUUM STATUS OF THE OUT ROBOT P1.</t>
  </si>
  <si>
    <t>CHECK THE PANEL STATUS OF THE OUT ROBOT P1.</t>
  </si>
  <si>
    <t>EM_TRANSFER_ROBOT_OUT_PENDANT_EMS</t>
    <phoneticPr fontId="1" type="noConversion"/>
  </si>
  <si>
    <t>EM_TRANSFER_ROBOT_OUT_CONTROLLER_EMS</t>
    <phoneticPr fontId="1" type="noConversion"/>
  </si>
  <si>
    <t>EF_IN_SHUTTLE_CELL_DAMAGED_CHECK</t>
    <phoneticPr fontId="1" type="noConversion"/>
  </si>
  <si>
    <t>EF_INSP_STAGE_CELL_DAMAGED_CHECK</t>
    <phoneticPr fontId="1" type="noConversion"/>
  </si>
  <si>
    <t>EF_OUT_ROBOT_CELL_DAMAGED_CHECK</t>
    <phoneticPr fontId="1" type="noConversion"/>
  </si>
  <si>
    <t>투입 셔틀 셀의 손상 유무를 확인 하세요</t>
  </si>
  <si>
    <t>IN로봇 셀의 손상 유무를 확인 하세요</t>
  </si>
  <si>
    <t>검사 스테이지 셀의 손상 유무를 확인 하세요</t>
  </si>
  <si>
    <t>OUT로봇 셀의 손상 유무를 확인 하세요</t>
  </si>
  <si>
    <t>CHECK_THE_CELL_FOR_DAMAGE(IN SHUTTLE)</t>
    <phoneticPr fontId="1" type="noConversion"/>
  </si>
  <si>
    <t>CHECK_THE_CELL_FOR_DAMAGE(INSPECTION STAGE)</t>
    <phoneticPr fontId="1" type="noConversion"/>
  </si>
  <si>
    <t>CHECK_THE_CELL_FOR_DAMAGE(OUT ROBOT)</t>
    <phoneticPr fontId="1" type="noConversion"/>
  </si>
  <si>
    <t>OUT로봇 팬던트에 비상 정지 버튼이 눌렸습니다</t>
    <phoneticPr fontId="1" type="noConversion"/>
  </si>
  <si>
    <t>OUT로봇 컨트롤러에 비상 정지 버튼이 눌렸습니다</t>
    <phoneticPr fontId="1" type="noConversion"/>
  </si>
  <si>
    <t>OUT_ROBOT_PENDANT_EMERGENCY_SWITCH_PUSH</t>
    <phoneticPr fontId="1" type="noConversion"/>
  </si>
  <si>
    <t>OUT_ROBOT_CONTROLLER_EMERGENCY_SWITCH_PUSH</t>
    <phoneticPr fontId="1" type="noConversion"/>
  </si>
  <si>
    <t>EQUIPMENT_FRONT_EMERGENCY_SWITCH_1_PUSH</t>
    <phoneticPr fontId="1" type="noConversion"/>
  </si>
  <si>
    <t>EQUIPMENT_REAR_EMERGENCY_SWITCH_2_PUSH</t>
    <phoneticPr fontId="1" type="noConversion"/>
  </si>
  <si>
    <t>EM_TRANSFER_ROBOT_IN_CONTROLLER_EMS</t>
    <phoneticPr fontId="1" type="noConversion"/>
  </si>
  <si>
    <t>SE_IN_SHUTTLE_P1_SENSOR_CHECK</t>
    <phoneticPr fontId="1" type="noConversion"/>
  </si>
  <si>
    <t>INSPECT_VISION</t>
    <phoneticPr fontId="1" type="noConversion"/>
  </si>
  <si>
    <t>INSPECT_VISION</t>
    <phoneticPr fontId="1" type="noConversion"/>
  </si>
  <si>
    <t>MO_IN_SHUTTLE_X1_LOAD_MOVE</t>
    <phoneticPr fontId="1" type="noConversion"/>
  </si>
  <si>
    <t>MO_IN_SHUTTLE_X1_UNLOAD_MOVE</t>
    <phoneticPr fontId="1" type="noConversion"/>
  </si>
  <si>
    <t>IN_SHUTTLE_X1_AXIS_LOAD_POSITION_MOVE_FAILED (UPPER-EQUIPMENT POSITION)</t>
    <phoneticPr fontId="1" type="noConversion"/>
  </si>
  <si>
    <t>IN_SHUTTLE_X1_AXIS_UNLOAD_POSITION_MOVE_FAILED (IN-ROBOT POSITION)</t>
    <phoneticPr fontId="1" type="noConversion"/>
  </si>
  <si>
    <t>IN_SHUTTLE trục X1 không thể di chuyển vị trí UNLOAD (IN-ROBOT POSITION)</t>
    <phoneticPr fontId="1" type="noConversion"/>
  </si>
  <si>
    <t>IN_SHUTTLE trục X1 không thể di chuyển vị trí LOAD (UPPER-EQUIPMENT POSITION)</t>
    <phoneticPr fontId="1" type="noConversion"/>
  </si>
  <si>
    <t>MO_TRANSFER_ROBOT_IN_LOAD_BEGIN</t>
    <phoneticPr fontId="1" type="noConversion"/>
  </si>
  <si>
    <t>MO_TRANSFER_ROBOT_IN_LOAD_PERMIT</t>
    <phoneticPr fontId="1" type="noConversion"/>
  </si>
  <si>
    <t>MO_TRANSFER_ROBOT_IN_LOAD_EXIT</t>
    <phoneticPr fontId="1" type="noConversion"/>
  </si>
  <si>
    <t>IN로봇 로드 프로세스 진입에 실패 했습니다 (IN셔틀 위치)</t>
    <phoneticPr fontId="1" type="noConversion"/>
  </si>
  <si>
    <t>IN로봇 로드 프로세스 퍼밋 동작에 실패 했습니다 (IN셔틀 위치)</t>
    <phoneticPr fontId="1" type="noConversion"/>
  </si>
  <si>
    <t>IN로봇 로트 프로세스 종료에 실패 했습니다 (IN셔틀 위치)</t>
    <phoneticPr fontId="1" type="noConversion"/>
  </si>
  <si>
    <t>MO_TRANSFER_ROBOT_IN_UNLOAD_BEGIN</t>
    <phoneticPr fontId="1" type="noConversion"/>
  </si>
  <si>
    <t>MO_TRANSFER_ROBOT_IN_UNLOAD_PERMIT</t>
    <phoneticPr fontId="1" type="noConversion"/>
  </si>
  <si>
    <t>MO_TRANSFER_ROBOT_IN_UNLOAD_EXIT</t>
    <phoneticPr fontId="1" type="noConversion"/>
  </si>
  <si>
    <t>IN로봇 언로드 프로세스 종료에 실패 했습니다 (검사스테이지 위치)</t>
    <phoneticPr fontId="1" type="noConversion"/>
  </si>
  <si>
    <t>IN셔틀 X1축이 홈 동작 진행에 실패 했습니다</t>
  </si>
  <si>
    <t>IN셔틀 X1축 로드 위치 이동에 실패 했습니다 (상류설비 위치)</t>
  </si>
  <si>
    <t>IN셔틀 X1축 언로드 위치 이동에 실패 했습니다 (IN로봇 위치)</t>
  </si>
  <si>
    <t>IN셔틀 P1 진공 흡착에 실패 했습니다</t>
  </si>
  <si>
    <t>IN셔틀 P1 진공 파기에 실패 했습니다</t>
  </si>
  <si>
    <t>IN셔틀 P1 셀 확인에 실패 했습니다 (진공)</t>
  </si>
  <si>
    <t>IN셔틀 P1 셀 확인에 실패 했습니다 (센서)</t>
  </si>
  <si>
    <t>IN셔틀 P1 셀 겹침 확인되었습니다 (진공)</t>
  </si>
  <si>
    <t>IN셔틀 P1 셀 겹침 확인되었습니다 (센서)</t>
  </si>
  <si>
    <t>IN로봇 언로드 프로세스 퍼밋 동작에 실패 했습니다 (검사스테이지 위치)</t>
    <phoneticPr fontId="1" type="noConversion"/>
  </si>
  <si>
    <t>IN로봇 언로드 프로세스 진입에 실패 했습니다 (검사스테이지 위치)</t>
    <phoneticPr fontId="1" type="noConversion"/>
  </si>
  <si>
    <t>검사스테이지 P1 진공 흡착에 실패 했습니다</t>
  </si>
  <si>
    <t>검사스테이지 P1 진공 파기에 실패 했습니다</t>
  </si>
  <si>
    <t>검사스테이지 P1 셀 확인에 실패 했습니다 (진공)</t>
  </si>
  <si>
    <t>검사스테이지 P1 셀 확인에 실패 했습니다 (센서)</t>
  </si>
  <si>
    <t>검사스테이지 P1 셀 겹침 확인되었습니다 (진공)</t>
  </si>
  <si>
    <t>검사스테이지 P1 셀 겹침 확인되었습니다 (센서)</t>
  </si>
  <si>
    <t>검사스테이지 P1 진공 상태를 확인해주세요.</t>
  </si>
  <si>
    <t>검사스테이지 P1 패널 상태를 확인해주세요.</t>
  </si>
  <si>
    <t>IN셔틀 X1축 드라이버 상태 확인 후 홈 동작을 수행하세요.</t>
  </si>
  <si>
    <t>IN셔틀 X1축 드라이버 상태 확인해주세요.</t>
  </si>
  <si>
    <t>IN셔틀 P1 진공 상태를 확인해주세요.</t>
  </si>
  <si>
    <t>IN셔틀 P1 패널 상태를 확인해주세요.</t>
  </si>
  <si>
    <t>MO_TRANSFER_ROBOT_OUT_LOAD_BEGIN</t>
    <phoneticPr fontId="1" type="noConversion"/>
  </si>
  <si>
    <t>MO_TRANSFER_ROBOT_OUT_LOAD_PERMIT</t>
    <phoneticPr fontId="1" type="noConversion"/>
  </si>
  <si>
    <t>MO_TRANSFER_ROBOT_OUT_LOAD_EXIT</t>
    <phoneticPr fontId="1" type="noConversion"/>
  </si>
  <si>
    <t>MO_TRANSFER_ROBOT_OUT_UNLOAD_BEGIN</t>
    <phoneticPr fontId="1" type="noConversion"/>
  </si>
  <si>
    <t>MO_TRANSFER_ROBOT_OUT_UNLOAD_PERMIT</t>
    <phoneticPr fontId="1" type="noConversion"/>
  </si>
  <si>
    <t>MO_TRANSFER_ROBOT_OUT_UNLOAD_EXIT</t>
    <phoneticPr fontId="1" type="noConversion"/>
  </si>
  <si>
    <t>OUT로봇 로드 프로세스 진입에 실패 했습니다 (검사스테이지 위치)</t>
    <phoneticPr fontId="1" type="noConversion"/>
  </si>
  <si>
    <t>OUT로봇 로드 프로세스 퍼밋 동작에 실패 했습니다 (검사스테이지 위치)</t>
    <phoneticPr fontId="1" type="noConversion"/>
  </si>
  <si>
    <t>OUT로봇 로드 프로세스 종료에 실패 했습니다 (검사스테이지 위치)</t>
    <phoneticPr fontId="1" type="noConversion"/>
  </si>
  <si>
    <t>OUT로봇 언로드 프로세스 진입에 실패 했습니다 (하류설비 위치)</t>
    <phoneticPr fontId="1" type="noConversion"/>
  </si>
  <si>
    <t>OUT로봇 언로드 프로세스 퍼밋 동작에 실패 했습니다 (하류설비 위치)</t>
    <phoneticPr fontId="1" type="noConversion"/>
  </si>
  <si>
    <t>OUT로봇 언로드 프로세스 종료에 실패 했습니다 (하류설비 위치)</t>
    <phoneticPr fontId="1" type="noConversion"/>
  </si>
  <si>
    <t>INSPECTION_STAGE_P1_VACUUM_FAILED</t>
  </si>
  <si>
    <t>INSPECTION_STAGE_P1_BLOW_FAILED</t>
  </si>
  <si>
    <t>INSPECTION_STAGE_P1_CELL_VACUUM_CHECK_FAILED</t>
  </si>
  <si>
    <t>INSPECTION_STAGE_P1_CELL_SENSOR_CHECK_FAILED</t>
  </si>
  <si>
    <t>INSPECTION_STAGE_P1_CELL_VACUUM_OVERLAP_FAILED</t>
  </si>
  <si>
    <t>INSPECTION_STAGE_P1_CELL_SENSOR_OVERLAP_FAILED</t>
  </si>
  <si>
    <t>CHECK THE VACUUM STATUS OF THE INSPECTION STAGE P1.</t>
  </si>
  <si>
    <t>CHECK THE PANNEL STATUS OF THE INSPECTION STAGE P1.</t>
  </si>
  <si>
    <t>INSPECTION_STAGE</t>
    <phoneticPr fontId="1" type="noConversion"/>
  </si>
  <si>
    <t>INSPECTION_STAGE</t>
    <phoneticPr fontId="1" type="noConversion"/>
  </si>
  <si>
    <t>INSPECTION_STAGE</t>
    <phoneticPr fontId="1" type="noConversion"/>
  </si>
  <si>
    <t>INSPECTION_STAGE</t>
    <phoneticPr fontId="1" type="noConversion"/>
  </si>
  <si>
    <t>INSPECTION_STAGE</t>
    <phoneticPr fontId="1" type="noConversion"/>
  </si>
  <si>
    <t>INSPECTION_STAGE</t>
    <phoneticPr fontId="1" type="noConversion"/>
  </si>
  <si>
    <t>상류설비에 DOOR가 열렸습니다</t>
    <phoneticPr fontId="1" type="noConversion"/>
  </si>
  <si>
    <t>하류설비에 DOOR가 열렸습니다</t>
    <phoneticPr fontId="1" type="noConversion"/>
  </si>
  <si>
    <t>하류설비에서 EMERGENCY가 발생했습니다</t>
    <phoneticPr fontId="1" type="noConversion"/>
  </si>
  <si>
    <t>상류설비에서 EMERGENCY가 발생했습니다</t>
    <phoneticPr fontId="1" type="noConversion"/>
  </si>
  <si>
    <t>VC_IN_SHUTTLE_P2_VACUUM</t>
  </si>
  <si>
    <t>IN셔틀 P2 진공 흡착에 실패 했습니다</t>
  </si>
  <si>
    <t>IN_SHUTTLE_P2_VACUUM_FAILED</t>
  </si>
  <si>
    <t>IN셔틀 P2 진공 상태를 확인해주세요.</t>
  </si>
  <si>
    <t>CHECK THE VACUUM STATUS OF THE IN SHUTTLE P2.</t>
  </si>
  <si>
    <t>VC_IN_SHUTTLE_P2_BLOW</t>
  </si>
  <si>
    <t>IN셔틀 P2 진공 파기에 실패 했습니다</t>
  </si>
  <si>
    <t>IN_SHUTTLE_P2_BLOW_FAILED</t>
  </si>
  <si>
    <t>SE_IN_SHUTTLE_P2_VACUUM_CHECK</t>
  </si>
  <si>
    <t>IN셔틀 P2 셀 확인에 실패 했습니다 (진공)</t>
  </si>
  <si>
    <t>IN_SHUTTLE_P2_CELL_VACUUM_CHECK_FAILED</t>
  </si>
  <si>
    <t>SE_IN_SHUTTLE_P2_SENSOR_CHECK</t>
  </si>
  <si>
    <t>IN셔틀 P2 셀 확인에 실패 했습니다 (센서)</t>
  </si>
  <si>
    <t>IN_SHUTTLE_P2_CELL_SENSOR_CHECK_FAILED</t>
  </si>
  <si>
    <t>IN셔틀 P2 패널 상태를 확인해주세요.</t>
  </si>
  <si>
    <t>CHECK THE PANNEL STATUS OF THE IN SHUTTLE P2.</t>
  </si>
  <si>
    <t>SE_IN_SHUTTLE_P2_VACUUM_OVERLAP</t>
  </si>
  <si>
    <t>IN셔틀 P2 셀 겹침 확인되었습니다 (진공)</t>
  </si>
  <si>
    <t>IN_SHUTTLE_P2_CELL_VACUUM_OVERLAP_FAILED</t>
  </si>
  <si>
    <t>SE_IN_SHUTTLE_P2_SENSOR_OVERLAP</t>
  </si>
  <si>
    <t>IN셔틀 P2 셀 겹침 확인되었습니다 (센서)</t>
  </si>
  <si>
    <t>IN_SHUTTLE_P2_CELL_SENSOR_OVERLAP_FAILED</t>
  </si>
  <si>
    <t>VC_TRANSFER_ROBOT_IN_P2_VACUUM</t>
  </si>
  <si>
    <t>IN로봇 피커 P2 흡착에 실패 했습니다</t>
  </si>
  <si>
    <t>IN_ROBOT_P2_VACUUM_FAILED</t>
  </si>
  <si>
    <t>IN로봇 진공 P2 상태를 확인해주세요.</t>
  </si>
  <si>
    <t>CHECK THE VACUUM STATUS OF IN ROBOT P2.</t>
  </si>
  <si>
    <t>VC_TRANSFER_ROBOT_IN_P2_BLOW</t>
  </si>
  <si>
    <t>IN로봇 피커 P2 파기에 실패 했습니다</t>
  </si>
  <si>
    <t>IN_ROBOT_P2_BLOW_FAILED</t>
  </si>
  <si>
    <t>SE_TRANSFER_ROBOT_IN_P2_VACUUM_CHECK</t>
  </si>
  <si>
    <t>IN로봇 P2 셀 확인에 실패 했습니다 (진공)</t>
  </si>
  <si>
    <t>IN_ROBOT_P2_CELL_VACUUM_CHECK_FAILED</t>
  </si>
  <si>
    <t>IN로봇 P2 진공 상태를 확인해주세요.</t>
  </si>
  <si>
    <t>CHECK THE VACUUM STATUS OF THE IN ROBOT P2.</t>
  </si>
  <si>
    <t>SE_TRANSFER_ROBOT_IN_P2_SENSOR_CHECK</t>
  </si>
  <si>
    <t>IN로봇 P2 셀 확인에 실패 했습니다 (센서)</t>
  </si>
  <si>
    <t>IN_ROBOT_P2_CELL_SENSOR_CHECK_FAILED</t>
  </si>
  <si>
    <t>IN로봇 P2 패널 상태를 확인해주세요.</t>
  </si>
  <si>
    <t>CHECK THE PANEL STATUS OF THE IN ROBOT P2.</t>
  </si>
  <si>
    <t>SE_TRANSFER_ROBOT_IN_P2_VACUUM_OVERLAP</t>
  </si>
  <si>
    <t>IN로봇 P2 셀 겹침 확인되었습니다 (진공)</t>
  </si>
  <si>
    <t>IN_ROBOT_P2_CELL_VACUUM_OVERLAP_FAILED</t>
  </si>
  <si>
    <t>SE_TRANSFER_ROBOT_IN_P2_SENSOR_OVERLAP</t>
  </si>
  <si>
    <t>IN로봇 P2 셀 겹침 확인되었습니다 (센서)</t>
  </si>
  <si>
    <t>IN_ROBOT_P2_CELL_SENSOR_OVERLAP_FAILED</t>
  </si>
  <si>
    <t>VC_INSP_STAGE_P2_VACUUM</t>
  </si>
  <si>
    <t>검사스테이지 P2 진공 흡착에 실패 했습니다</t>
  </si>
  <si>
    <t>INSPECTION_STAGE_P2_VACUUM_FAILED</t>
  </si>
  <si>
    <t>검사스테이지 P2 진공 상태를 확인해주세요.</t>
  </si>
  <si>
    <t>CHECK THE VACUUM STATUS OF THE INSPECTION STAGE P2.</t>
  </si>
  <si>
    <t>VC_INSP_STAGE_P2_BLOW</t>
  </si>
  <si>
    <t>검사스테이지 P2 진공 파기에 실패 했습니다</t>
  </si>
  <si>
    <t>INSPECTION_STAGE_P2_BLOW_FAILED</t>
  </si>
  <si>
    <t>SE_INSP_STAGE_P2_VACUUM_CHECK</t>
  </si>
  <si>
    <t>검사스테이지 P2 셀 확인에 실패 했습니다 (진공)</t>
  </si>
  <si>
    <t>INSPECTION_STAGE_P2_CELL_VACUUM_CHECK_FAILED</t>
  </si>
  <si>
    <t>SE_INSP_STAGE_P2_SENSOR_CHECK</t>
  </si>
  <si>
    <t>검사스테이지 P2 셀 확인에 실패 했습니다 (센서)</t>
  </si>
  <si>
    <t>INSPECTION_STAGE_P2_CELL_SENSOR_CHECK_FAILED</t>
  </si>
  <si>
    <t>검사스테이지 P2 패널 상태를 확인해주세요.</t>
  </si>
  <si>
    <t>CHECK THE PANNEL STATUS OF THE INSPECTION STAGE P2.</t>
  </si>
  <si>
    <t>SE_INSP_STAGE_P2_VACUUM_OVERLAP</t>
  </si>
  <si>
    <t>검사스테이지 P2 셀 겹침 확인되었습니다 (진공)</t>
  </si>
  <si>
    <t>INSPECTION_STAGE_P2_CELL_VACUUM_OVERLAP_FAILED</t>
  </si>
  <si>
    <t>SE_INSP_STAGE_P2_SENSOR_OVERLAP</t>
  </si>
  <si>
    <t>검사스테이지 P2 셀 겹침 확인되었습니다 (센서)</t>
  </si>
  <si>
    <t>INSPECTION_STAGE_P2_CELL_SENSOR_OVERLAP_FAILED</t>
  </si>
  <si>
    <t>VC_TRANSFER_ROBOT_OUT_P2_VACUUM</t>
  </si>
  <si>
    <t>OUT로봇 피커 P2 흡착에 실패 했습니다</t>
  </si>
  <si>
    <t>OUT_ROBOT_P2_VACUUM_FAILED</t>
  </si>
  <si>
    <t>OUT로봇 진공 P2 상태를 확인해주세요.</t>
  </si>
  <si>
    <t>CHECK THE VACUUM STATUS OF OUT ROBOT P2.</t>
  </si>
  <si>
    <t>VC_TRANSFER_ROBOT_OUT_P2_BLOW</t>
  </si>
  <si>
    <t>OUT로봇 피커 P2 파기에 실패 했습니다</t>
  </si>
  <si>
    <t>OUT_ROBOT_P2_BLOW_FAILED</t>
  </si>
  <si>
    <t>SE_TRANSFER_ROBOT_OUT_P2_VACUUM_CHECK</t>
  </si>
  <si>
    <t>OUT로봇 P2 셀 확인에 실패 했습니다 (진공)</t>
  </si>
  <si>
    <t>OUT_ROBOT_P2_CELL_VACUUM_CHECK_FAILED</t>
  </si>
  <si>
    <t>OUT로봇 P2 진공 상태를 확인해주세요.</t>
  </si>
  <si>
    <t>CHECK THE VACUUM STATUS OF THE OUT ROBOT P2.</t>
  </si>
  <si>
    <t>SE_TRANSFER_ROBOT_OUT_P2_SENSOR_CHECK</t>
  </si>
  <si>
    <t>OUT로봇 P2 셀 확인에 실패 했습니다 (센서)</t>
  </si>
  <si>
    <t>OUT_ROBOT_P2_CELL_SENSOR_CHECK_FAILED</t>
  </si>
  <si>
    <t>OUT로봇 P2 패널 상태를 확인해주세요.</t>
  </si>
  <si>
    <t>CHECK THE PANEL STATUS OF THE OUT ROBOT P2.</t>
  </si>
  <si>
    <t>SE_TRANSFER_ROBOT_OUT_P2_VACUUM_OVERLAP</t>
  </si>
  <si>
    <t>OUT로봇 P2 셀 겹침 확인되었습니다 (진공)</t>
  </si>
  <si>
    <t>OUT_ROBOT_P2_CELL_VACUUM_OVERLAP_FAILED</t>
  </si>
  <si>
    <t>SE_TRANSFER_ROBOT_OUT_P2_SENSOR_OVERLAP</t>
  </si>
  <si>
    <t>OUT로봇 P2 셀 겹침 확인되었습니다 (센서)</t>
  </si>
  <si>
    <t>OUT_ROBOT_P2_CELL_SENSOR_OVERLAP_FAILED</t>
  </si>
  <si>
    <t>VI_LOADER_MCR_P2_GRAB_TIMEOUT</t>
  </si>
  <si>
    <t>MCR P2 촬상에 실패 했습니다</t>
  </si>
  <si>
    <t>MCR_P2_GRAB_FAILED</t>
  </si>
  <si>
    <t>Không thể chụp MCR_P2_GRAB</t>
  </si>
  <si>
    <t>VI_LOADER_MCR_P2_RESULT_TIMEOUT</t>
  </si>
  <si>
    <t>MCR P2 결과 대기 시간을 초과 했습니다</t>
  </si>
  <si>
    <t>MCR_P2_WAIT_RESULT_TIME_OUT</t>
  </si>
  <si>
    <t>Đã vượt quá thời gian chờ kết quả MCR P2</t>
  </si>
  <si>
    <t>VI_LOADER_MCR_P2_CONTINUOUS_FAILURE</t>
  </si>
  <si>
    <t>MCR P2 촬상을 연속으로 실패 했습니다</t>
  </si>
  <si>
    <t>MCR_P2_GRAB_SUCCESSIVELY_FAILED</t>
  </si>
  <si>
    <t>VA_TRANSFER_CIM_P2_TRACKING_FAILED</t>
  </si>
  <si>
    <t>P2 트랙킹에 실패했습니다</t>
  </si>
  <si>
    <t>P2 TRACKING_FAILED</t>
  </si>
  <si>
    <t>VA_TRANSFER_CIM_P2_TRACKING_TIMEOUT</t>
  </si>
  <si>
    <t>P2 트랙킹 시간이 초과했습니다</t>
  </si>
  <si>
    <t>P2 TRACKING_TIME_OUT</t>
  </si>
  <si>
    <t>VA_TRANSFER_CIM_P2_TRACKING_MISSMATCH</t>
  </si>
  <si>
    <t>P2 트랙킹 CELL ID와 JOB PROCESS REQUEST CELL ID와 다릅니다</t>
  </si>
  <si>
    <t>P2 TRACKING_CELL_ID_NOT_MATCH</t>
  </si>
  <si>
    <t>VA_TRANSFER_CIM_P2_CELL_INFORMATION_DOWNLOAD_FAILED</t>
  </si>
  <si>
    <t>P2 셀 정보 다운로드에 실패했습니다</t>
  </si>
  <si>
    <t>P2 CELL INFORMATION DOWNLOAD_FAILED</t>
  </si>
  <si>
    <t>VA_TRANSFER_CIM_P2_CELL_INFORMATION_DOWNLOAD_TIMEOUT</t>
  </si>
  <si>
    <t>P2 셀 정보 다운로드 시간이 초과했습니다</t>
  </si>
  <si>
    <t>P2 CELL INFORMATION DOWNLOAD_TIME_OUT</t>
  </si>
  <si>
    <t>VA_TRANSFER_CIM_P2_CELL_INFORMATION_DOWNLOAD_MISSMATCH</t>
  </si>
  <si>
    <t>P2 셀 정보 다운로드 CELL ID와 JOB PROCESS REQUEST CELL ID와 다릅니다</t>
  </si>
  <si>
    <t>P2 CELL INFORMATION DOWNLOAD_CELL_ID_NOT_MATCH</t>
  </si>
  <si>
    <t>전장반 온도가 40도를 초과 했습니다</t>
  </si>
  <si>
    <t>전장반에 연기가 감지되었습니다</t>
  </si>
  <si>
    <t>ELECTRONIC_BOX_SMOKE_SENSOR_ALARM</t>
  </si>
  <si>
    <t>설비 온도를 확인하고 리셋 버튼을 눌러 클리어 해주세요.</t>
  </si>
  <si>
    <t>전장반에 연기를 확인해주세요.</t>
  </si>
  <si>
    <t>Check the equipment temperature sensor and press the reset button to clear it.</t>
  </si>
  <si>
    <t>Smoke Sensor Detect &amp; Check</t>
  </si>
  <si>
    <t>전장반 온도컨트롤러 연결이 끊어졌습니다.</t>
  </si>
  <si>
    <t>설비 FFU컨트롤러를 확인해주세요.</t>
  </si>
  <si>
    <t>설비 접지 저항 측정기를 확인해주세요.</t>
  </si>
  <si>
    <t>설비 온도컨트롤러를 확인해주세요.</t>
  </si>
  <si>
    <t>Check the equipment main temperature sensor.</t>
  </si>
  <si>
    <t>OUT로봇 실린더 P1 상태를 확인해 주세요</t>
  </si>
  <si>
    <t>OUT로봇 실린더 P2 상태를 확인해 주세요</t>
  </si>
  <si>
    <t>CHECK THE CYLINDER P1 OF OUT ROBOT.</t>
  </si>
  <si>
    <t>CHECK THE CYLINDER P2 OF OUT ROBOT.</t>
  </si>
  <si>
    <t>PLEASE CHECK THE IN PRE ALIGN PROGRAM UI AND TAKE ACTION.</t>
  </si>
  <si>
    <t>PLEASE REGISTER THE CURRENT MODEL INFORMATION ON IN PRE ALIGN.</t>
  </si>
  <si>
    <t>CHECK IN PRE ALIGN P1 IMAGE STATUS.</t>
  </si>
  <si>
    <t>CHECK IN PRE ALIGN P2 IMAGE STATUS.</t>
  </si>
  <si>
    <t>CHECK IN PRE ALIGN IMAGE STATUS.</t>
  </si>
  <si>
    <t>CHECK IN PRE ALIGN PROGRAM STATUS.</t>
  </si>
  <si>
    <t>CHECK IN PRE ALIGN CAMERA STATUS.</t>
  </si>
  <si>
    <t>CHECK IN PRE ALIGN LIGHT CONTROLLER STATUS.</t>
  </si>
  <si>
    <t>CHECK IN PRE ALIGN LIGHT STATUS.</t>
  </si>
  <si>
    <t>OUT_ROBOT_LOAD_PROCESS_BEGIN_FAILED (INSPECTION-STAGE POSITION)</t>
  </si>
  <si>
    <t>OUT_ROBOT_LOAD_PROCESS_PERMIT_FAILED (INSPECTION-STAGE POSITION)</t>
  </si>
  <si>
    <t>OUT_ROBOT_LOAD_PROCESS_EXIT_FAILED (INSPECTION-STAGE POSITION)</t>
  </si>
  <si>
    <t>OUT_ROBOT_UNLOAD_PROCESS_BEGIN_FAILED (LOWER-EQUIPMENT POSITION)</t>
  </si>
  <si>
    <t>OUT_ROBOT_UNLOAD_PROCESS_PERMIT_FAILED (LOWER-EQUIPMENT POSITION)</t>
  </si>
  <si>
    <t>OUT_ROBOT_UNLOAD_PROCESS_EXIT_FAILED (LOWER-EQUIPMENT POSITION)</t>
  </si>
  <si>
    <t>IN_ROBOT_LOAD_PROCESS_BEGIN_FAILED (IN-SHUTTLE POSITION)</t>
  </si>
  <si>
    <t>IN_ROBOT_LOAD_PROCESS_PERMIT_FAILED (IN-SHUTTLE POSITION)</t>
  </si>
  <si>
    <t>IN_ROBOT_LOAD_PROCESS_EXIT_FAILED (IN-SHUTTLE POSITION)</t>
  </si>
  <si>
    <t>IN_ROBOT_MCR_PROCESS_PERMIT_FAILED</t>
  </si>
  <si>
    <t>IN_ROBOT_UNLOAD_PROCESS_BEGIN_FAILED (INSPECTION-STAGE POSITION)</t>
  </si>
  <si>
    <t>IN_ROBOT_UNLOAD_PROCESS_PERMIT_FAILED (INSPECTION-STAGE POSITION)</t>
  </si>
  <si>
    <t>IN_ROBOT_UNLOAD_PROCESS_EXIT_FAILED (INSPECTION-STAGE POSITION)</t>
  </si>
  <si>
    <t>IN_SHUTTLE_P1_VACUUM_FAILED</t>
    <phoneticPr fontId="1" type="noConversion"/>
  </si>
  <si>
    <t>CO_PRE_ALIGN_N_DISCONNECTED</t>
  </si>
  <si>
    <t>VI_PRE_ALIGN_N_RECEIVE_ALIGN_ERROR</t>
  </si>
  <si>
    <t>VI_PRE_ALIGN_N_MODEL_LIST_TIMEOUT</t>
  </si>
  <si>
    <t>VI_PRE_ALIGN_N_MODEL_NOT_FOUND</t>
  </si>
  <si>
    <t>VI_PRE_ALIGN_START_TIMEOUT</t>
  </si>
  <si>
    <t>VI_PRE_ALIGN_COMPLETE_TIMEOUT</t>
  </si>
  <si>
    <t>CO_PRE_ALIGN_COMPLETE_VALIDATION_FAIL</t>
  </si>
  <si>
    <t>VI_PRE_ALIGN_P1_OVERRANGE_X</t>
  </si>
  <si>
    <t>VI_PRE_ALIGN_P1_OVERRANGE_Y</t>
  </si>
  <si>
    <t>VI_PRE_ALIGN_P1_OVERRANGE_T</t>
  </si>
  <si>
    <t>VI_PRE_ALIGN_P1_OVERRANGE_SCORE</t>
  </si>
  <si>
    <t>VI_PRE_ALIGN_P2_OVERRANGE_X</t>
  </si>
  <si>
    <t>VI_PRE_ALIGN_P2_OVERRANGE_Y</t>
  </si>
  <si>
    <t>VI_PRE_ALIGN_P2_OVERRANGE_T</t>
  </si>
  <si>
    <t>VI_PRE_ALIGN_P2_OVERRANGE_SCORE</t>
  </si>
  <si>
    <t>VI_PRE_ALIGN_RETRY_COUNTOVER</t>
  </si>
  <si>
    <t>VI_PRE_ALIGN_ERROR_SYSTEM_NOT_RUNNING</t>
  </si>
  <si>
    <t>VI_PRE_ALIGN_ERROR_CAMERA</t>
  </si>
  <si>
    <t>VI_PRE_ALIGN_ERROR_LIGHT_CONTROLLER</t>
  </si>
  <si>
    <t>VI_PRE_ALIGN_ERROR_LIGHT_TEMP_OVER</t>
  </si>
  <si>
    <t>프리얼라인 Program 통신 연결이 끊어 졌습니다</t>
  </si>
  <si>
    <t>프리얼라인 Program에 에러가 발생했습니다</t>
  </si>
  <si>
    <t>프리얼라인 Program 모델 리스트 요청 응답 대기 시간을 초과 했습니다</t>
  </si>
  <si>
    <t>프리얼라인 Program에 현재 모델 정보가 등록되어 있지 않습니다</t>
  </si>
  <si>
    <t>프리얼라인 촬상 시작 응답 대기 시간을 초과 했습니다</t>
  </si>
  <si>
    <t>프리얼라인 촬상 완료 대기 시간을 초과 했습니다</t>
  </si>
  <si>
    <t>프리얼라인 촬상 완료 데이터 정합성이 맞지 않습니다</t>
  </si>
  <si>
    <t>프리얼라인 P1 X 총 보정량이 인터락 범위를 초과 했습니다</t>
  </si>
  <si>
    <t>프리얼라인 P1 Y 총 보정량이 인터락 범위를 초과 했습니다</t>
  </si>
  <si>
    <t>프리얼라인 P1 T 총 보정량이 인터락 범위를 초과 했습니다</t>
  </si>
  <si>
    <t>프리얼라인 P1 카메라 그랩 스코어가 설정값 보다 낮습니다</t>
  </si>
  <si>
    <t>프리얼라인 P2 X 총 보정량이 인터락 범위를 초과 했습니다</t>
  </si>
  <si>
    <t>프리얼라인 P2 Y 총 보정량이 인터락 범위를 초과 했습니다</t>
  </si>
  <si>
    <t>프리얼라인 P2 T 총 보정량이 인터락 범위를 초과 했습니다</t>
  </si>
  <si>
    <t>프리얼라인 P2 카메라 그랩 스코어가 설정값 보다 낮습니다</t>
  </si>
  <si>
    <t>프리얼라인 카메라 재시도 횟수를 초과 했습니다</t>
  </si>
  <si>
    <t>프리얼라인 시스템이 정지 상태입니다</t>
  </si>
  <si>
    <t>프리얼라인 카메라에 이상이 발생했습니다</t>
  </si>
  <si>
    <t>프리얼라인 조명 컨트롤러에 이상이 발생했습니다</t>
  </si>
  <si>
    <t>프리얼라인 조명이 정상 온도를 벗어났습니다</t>
  </si>
  <si>
    <t>PRE_ALIGN_INTERFACE_DISCONNECTED</t>
  </si>
  <si>
    <t>PRE_ALIGN_ALARM_OCCURRED</t>
  </si>
  <si>
    <t>PRE_ALIGN_MODEL_LIST_TIMEOUT</t>
  </si>
  <si>
    <t>PRE_ALIGN_MODEL_NOT_FOUND</t>
  </si>
  <si>
    <t>PRE_ALIGN_START_TIMEOUT</t>
  </si>
  <si>
    <t>PRE_ALIGN_COMPLETE_TIMEOUT</t>
  </si>
  <si>
    <t>PRE_ALIGN_COMPLETE_VALIDATION_FAIL</t>
  </si>
  <si>
    <t>PRE_ALIGN_P1_X_TOTAL_REVISION_EXCEEDS_INTERLOCK_RANGE</t>
  </si>
  <si>
    <t>PRE_ALIGN_P1_Y_TOTAL_REVISION_EXCEEDS_INTERLOCK_RANGE</t>
  </si>
  <si>
    <t>PRE_ALIGN_P1_T_TOTAL_REVISION_EXCEEDS_INTERLOCK_RANGE</t>
  </si>
  <si>
    <t>PRE_ALIGN_P1_CAMERA_GRAB_SCORE_IS_SETTING_VALUE_LOW</t>
  </si>
  <si>
    <t>PRE_ALIGN_P2_X_TOTAL_REVISION_EXCEEDS_INTERLOCK_RANGE</t>
  </si>
  <si>
    <t>PRE_ALIGN_P2_Y_TOTAL_REVISION_EXCEEDS_INTERLOCK_RANGE</t>
  </si>
  <si>
    <t>PRE_ALIGN_P2_T_TOTAL_REVISION_EXCEEDS_INTERLOCK_RANGE</t>
  </si>
  <si>
    <t>PRE_ALIGN_P2_CAMERA_GRAB_SCORE_IS_SETTING_VALUE_LOW</t>
  </si>
  <si>
    <t>PRE_ALIGN_CAMERA_RETRY_COUNT_IS_OVER</t>
  </si>
  <si>
    <t>PRE_ALIGN_SYSTEM_IS_NOT_RUNNING</t>
  </si>
  <si>
    <t>PRE_ALIGN_CAMERA_ERROR</t>
  </si>
  <si>
    <t>PRE_ALIGN_LIGHT_CONTROLLER_ERROR</t>
  </si>
  <si>
    <t>PRE_ALIGN_LIGHT_OVER_TEMPERATURE</t>
  </si>
  <si>
    <t>프리 얼라인 프로그램 UI를 확인 후 조치해주세요.</t>
  </si>
  <si>
    <t>프리 얼라인 프로그램에 현재 모델 정보를 등록해주세요.</t>
  </si>
  <si>
    <t>프리 얼라인 P1 이미지 상태를 확인해주세요.</t>
  </si>
  <si>
    <t>프리 얼라인 P2 이미지 상태를 확인해주세요.</t>
  </si>
  <si>
    <t>프리 얼라인 이미지 상태를 확인해주세요.</t>
  </si>
  <si>
    <t>프리 얼라인 프로그램 상태를 확인해주세요.</t>
  </si>
  <si>
    <t>프리 얼라인 카메라 상태를 확인해주세요.</t>
  </si>
  <si>
    <t>프리 얼라인 조명 컨트롤러 상태를 확인해주세요.</t>
  </si>
  <si>
    <t>프리 얼라인 조명 상태를 확인해주세요.</t>
  </si>
  <si>
    <t>OUT_FLIP</t>
  </si>
  <si>
    <t>OUT_FLIP</t>
    <phoneticPr fontId="1" type="noConversion"/>
  </si>
  <si>
    <t>CY_TRANSFER_ROBOT_OUT_P1_T_TURN</t>
  </si>
  <si>
    <t>CY_TRANSFER_ROBOT_OUT_P1_T_RETURN</t>
  </si>
  <si>
    <t>CY_TRANSFER_ROBOT_OUT_P2_T_TURN</t>
  </si>
  <si>
    <t>CY_TRANSFER_ROBOT_OUT_P2_T_RETURN</t>
  </si>
  <si>
    <t>OUT로봇 실린더 P1 회전 동작에 실패 했습니다</t>
  </si>
  <si>
    <t>OUT로봇 실린더 P1 복귀 동작에 실패 했습니다</t>
  </si>
  <si>
    <t>OUT로봇 실린더 P2 회전 동작에 실패 했습니다</t>
  </si>
  <si>
    <t>OUT로봇 실린더 P2 복귀 동작에 실패 했습니다</t>
  </si>
  <si>
    <t>OUT_ROBOT_P1_CYLINDER_TURN_FAILED</t>
  </si>
  <si>
    <t>OUT_ROBOT_P1_CYLINDER_RETURN_FAILED</t>
  </si>
  <si>
    <t>OUT_ROBOT_P2_CYLINDER_TURN_FAILED</t>
  </si>
  <si>
    <t>OUT_ROBOT_P2_CYLINDER_RETURN_FAILED</t>
  </si>
  <si>
    <t>OUT_CONVEYOR</t>
    <phoneticPr fontId="1" type="noConversion"/>
  </si>
  <si>
    <t>OUT_CONVEYOR</t>
    <phoneticPr fontId="1" type="noConversion"/>
  </si>
  <si>
    <t>OUT컨베이어 상태를 확인해주세요.</t>
    <phoneticPr fontId="1" type="noConversion"/>
  </si>
  <si>
    <t>OUT컨베이어 상태를 확인해주세요.</t>
    <phoneticPr fontId="1" type="noConversion"/>
  </si>
  <si>
    <t>CHECK THE STATUS OF THE OUT CONVEYOR.</t>
  </si>
  <si>
    <t>VC_OUT_FLIP_P1_VACUUM</t>
  </si>
  <si>
    <t>VC_OUT_FLIP_P1_BLOW</t>
  </si>
  <si>
    <t>SE_OUT_FLIP_P1_VACUUM_CHECK</t>
  </si>
  <si>
    <t>SE_OUT_FLIP_P1_SENSOR_CHECK</t>
  </si>
  <si>
    <t>SE_OUT_FLIP_P1_VACUUM_OVERLAP</t>
  </si>
  <si>
    <t>SE_OUT_FLIP_P1_SENSOR_OVERLAP</t>
  </si>
  <si>
    <t>VC_OUT_FLIP_P2_VACUUM</t>
  </si>
  <si>
    <t>VC_OUT_FLIP_P2_BLOW</t>
  </si>
  <si>
    <t>SE_OUT_FLIP_P2_VACUUM_CHECK</t>
  </si>
  <si>
    <t>SE_OUT_FLIP_P2_SENSOR_CHECK</t>
  </si>
  <si>
    <t>SE_OUT_FLIP_P2_VACUUM_OVERLAP</t>
  </si>
  <si>
    <t>SE_OUT_FLIP_P2_SENSOR_OVERLAP</t>
  </si>
  <si>
    <t>OUT플립 피커 P1 흡착에 실패 했습니다</t>
  </si>
  <si>
    <t>OUT플립 피커 P1 파기에 실패 했습니다</t>
  </si>
  <si>
    <t>OUT플립 P1 셀 확인에 실패 했습니다 (진공)</t>
  </si>
  <si>
    <t>OUT플립 P1 셀 확인에 실패 했습니다 (센서)</t>
  </si>
  <si>
    <t>OUT플립 P1 셀 겹침 확인되었습니다 (진공)</t>
  </si>
  <si>
    <t>OUT플립 P1 셀 겹침 확인되었습니다 (센서)</t>
  </si>
  <si>
    <t>OUT플립 피커 P2 흡착에 실패 했습니다</t>
  </si>
  <si>
    <t>OUT플립 피커 P2 파기에 실패 했습니다</t>
  </si>
  <si>
    <t>OUT플립 P2 셀 확인에 실패 했습니다 (진공)</t>
  </si>
  <si>
    <t>OUT플립 P2 셀 확인에 실패 했습니다 (센서)</t>
  </si>
  <si>
    <t>OUT플립 P2 셀 겹침 확인되었습니다 (진공)</t>
  </si>
  <si>
    <t>OUT플립 P2 셀 겹침 확인되었습니다 (센서)</t>
  </si>
  <si>
    <t>OUT_FLIP_P1_VACUUM_FAILED</t>
  </si>
  <si>
    <t>OUT_FLIP_P1_BLOW_FAILED</t>
  </si>
  <si>
    <t>OUT_FLIP_P1_CELL_VACUUM_CHECK_FAILED</t>
  </si>
  <si>
    <t>OUT_FLIP_P1_CELL_SENSOR_CHECK_FAILED</t>
  </si>
  <si>
    <t>OUT_FLIP_P1_CELL_VACUUM_OVERLAP_FAILED</t>
  </si>
  <si>
    <t>OUT_FLIP_P1_CELL_SENSOR_OVERLAP_FAILED</t>
  </si>
  <si>
    <t>OUT_FLIP_P2_VACUUM_FAILED</t>
  </si>
  <si>
    <t>OUT_FLIP_P2_BLOW_FAILED</t>
  </si>
  <si>
    <t>OUT_FLIP_P2_CELL_VACUUM_CHECK_FAILED</t>
  </si>
  <si>
    <t>OUT_FLIP_P2_CELL_SENSOR_CHECK_FAILED</t>
  </si>
  <si>
    <t>OUT_FLIP_P2_CELL_VACUUM_OVERLAP_FAILED</t>
  </si>
  <si>
    <t>OUT_FLIP_P2_CELL_SENSOR_OVERLAP_FAILED</t>
  </si>
  <si>
    <t>OUT플립 진공 P1 상태를 확인해주세요.</t>
  </si>
  <si>
    <t>OUT플립 P1 진공 상태를 확인해주세요.</t>
  </si>
  <si>
    <t>OUT플립 P1 패널 상태를 확인해주세요.</t>
  </si>
  <si>
    <t>OUT플립 진공 P2 상태를 확인해주세요.</t>
  </si>
  <si>
    <t>OUT플립 P2 진공 상태를 확인해주세요.</t>
  </si>
  <si>
    <t>OUT플립 P2 패널 상태를 확인해주세요.</t>
  </si>
  <si>
    <t>CHECK THE VACUUM STATUS OF OUT FLIP P1.</t>
  </si>
  <si>
    <t>CHECK THE VACUUM STATUS OF THE OUT FLIP P1.</t>
  </si>
  <si>
    <t>CHECK THE PANEL STATUS OF THE OUT FLIP P1.</t>
  </si>
  <si>
    <t>CHECK THE VACUUM STATUS OF OUT FLIP P2.</t>
  </si>
  <si>
    <t>CHECK THE VACUUM STATUS OF THE OUT FLIP P2.</t>
  </si>
  <si>
    <t>CHECK THE PANEL STATUS OF THE OUT FLIP P2.</t>
  </si>
  <si>
    <t>OUT컨베이어 배출 센서에 자재 쌓임을 감지했습니다.</t>
    <phoneticPr fontId="1" type="noConversion"/>
  </si>
  <si>
    <t>OUT_CONVEYOR_OUTPUT_BLOCKED_CHECK</t>
    <phoneticPr fontId="1" type="noConversion"/>
  </si>
  <si>
    <t>OUT컨베이어 센서에 셀을 감지했습니다.</t>
    <phoneticPr fontId="1" type="noConversion"/>
  </si>
  <si>
    <t>SE_UNLOADER_CONVEYOR_N_CELL_EXIST_CHECK</t>
    <phoneticPr fontId="1" type="noConversion"/>
  </si>
  <si>
    <t>OUT_CONVEYOR_CELL_EXIST_CHECK</t>
    <phoneticPr fontId="1" type="noConversion"/>
  </si>
  <si>
    <t>SE_UNLOADER_CONVEYOR_N_OUTPUT_BLOCKED_CHECK</t>
    <phoneticPr fontId="1" type="noConversion"/>
  </si>
  <si>
    <t>OUT컨베이어 P1 센서에 셀이 감지되지 않았습니다.</t>
    <phoneticPr fontId="1" type="noConversion"/>
  </si>
  <si>
    <t>OUT컨베이어 P2 센서에 셀이 감지되지 않았습니다.</t>
    <phoneticPr fontId="1" type="noConversion"/>
  </si>
  <si>
    <t>SE_UNLOADER_CONVEYOR_P2_CELL_NOT_EXIST_CHECK</t>
    <phoneticPr fontId="1" type="noConversion"/>
  </si>
  <si>
    <t>SE_UNLOADER_CONVEYOR_P1_CELL_NOT_EXIST_CHECK</t>
    <phoneticPr fontId="1" type="noConversion"/>
  </si>
  <si>
    <t>SE_UNLOADER_CONVEYOR_ALL_CELL_NOT_EXIST_CHECK</t>
    <phoneticPr fontId="1" type="noConversion"/>
  </si>
  <si>
    <t>OUT_CONVEYOR_P1_CELL_NOT_EXIST_CHECK</t>
    <phoneticPr fontId="1" type="noConversion"/>
  </si>
  <si>
    <t>OUT_CONVEYOR_P2_CELL_NOT_EXIST_CHECK</t>
    <phoneticPr fontId="1" type="noConversion"/>
  </si>
  <si>
    <t>OUT_CONVEYOR_P1_P2_CELL_NOT_EXIST_CHECK</t>
    <phoneticPr fontId="1" type="noConversion"/>
  </si>
  <si>
    <t>OUT컨베이어 P1 P2 센서에 셀이 감지되지 않았습니다.</t>
    <phoneticPr fontId="1" type="noConversion"/>
  </si>
  <si>
    <t>EF_OUT_FLIP_CELL_DAMAGED_CHECK</t>
    <phoneticPr fontId="1" type="noConversion"/>
  </si>
  <si>
    <t>OUT플립 셀의 손상 유무를 확인 하세요</t>
    <phoneticPr fontId="1" type="noConversion"/>
  </si>
  <si>
    <t>CHECK_THE_CELL_FOR_DAMAGE(OUT FLIP)</t>
    <phoneticPr fontId="1" type="noConversion"/>
  </si>
  <si>
    <t>VC_TRANSFER_ROBOT_OUT_P1_BLOW</t>
    <phoneticPr fontId="1" type="noConversion"/>
  </si>
  <si>
    <t>정면 비상 정지 버튼#1이 눌렸습니다</t>
    <phoneticPr fontId="1" type="noConversion"/>
  </si>
  <si>
    <t>후면 비상 정지 버튼#2이 눌렸습니다</t>
    <phoneticPr fontId="1" type="noConversion"/>
  </si>
  <si>
    <t>EM_UPPER_EQUIPMENT_N_EMERGENCY_STATE</t>
    <phoneticPr fontId="1" type="noConversion"/>
  </si>
  <si>
    <t>CY_TRANSFER_ROBOT_IN_P1_T_TURN</t>
    <phoneticPr fontId="1" type="noConversion"/>
  </si>
  <si>
    <t>CY_TRANSFER_ROBOT_IN_P1_T_RETURN</t>
    <phoneticPr fontId="1" type="noConversion"/>
  </si>
  <si>
    <t>CY_TRANSFER_ROBOT_IN_P2_T_TURN</t>
    <phoneticPr fontId="1" type="noConversion"/>
  </si>
  <si>
    <t>CY_TRANSFER_ROBOT_IN_P2_T_RETURN</t>
    <phoneticPr fontId="1" type="noConversion"/>
  </si>
  <si>
    <t>IN로봇 실린더 P1 회전 동작에 실패 했습니다</t>
    <phoneticPr fontId="1" type="noConversion"/>
  </si>
  <si>
    <t>IN로봇 실린더 P1 복귀 동작에 실패 했습니다</t>
    <phoneticPr fontId="1" type="noConversion"/>
  </si>
  <si>
    <t>IN로봇 실린더 P2 회전 동작에 실패 했습니다</t>
    <phoneticPr fontId="1" type="noConversion"/>
  </si>
  <si>
    <t>IN로봇 실린더 P2 복귀 동작에 실패 했습니다</t>
    <phoneticPr fontId="1" type="noConversion"/>
  </si>
  <si>
    <t>IN_ROBOT_P1_CYLINDER_TURN_FAILED</t>
    <phoneticPr fontId="1" type="noConversion"/>
  </si>
  <si>
    <t>IN_ROBOT_P1_CYLINDER_RETURN_FAILED</t>
    <phoneticPr fontId="1" type="noConversion"/>
  </si>
  <si>
    <t>IN_ROBOT_P2_CYLINDER_TURN_FAILED</t>
    <phoneticPr fontId="1" type="noConversion"/>
  </si>
  <si>
    <t>IN_ROBOT_P2_CYLINDER_RETURN_FAILED</t>
    <phoneticPr fontId="1" type="noConversion"/>
  </si>
  <si>
    <t>IN로봇 실린더 P1 상태를 확인해 주세요</t>
    <phoneticPr fontId="1" type="noConversion"/>
  </si>
  <si>
    <t>IN로봇 실린더 P2 상태를 확인해 주세요</t>
    <phoneticPr fontId="1" type="noConversion"/>
  </si>
  <si>
    <t>IN로봇 실린더 P2 상태를 확인해 주세요</t>
    <phoneticPr fontId="1" type="noConversion"/>
  </si>
  <si>
    <t>CHECK THE CYLINDER P1 OF IN ROBOT.</t>
    <phoneticPr fontId="1" type="noConversion"/>
  </si>
  <si>
    <t>CHECK THE CYLINDER P2 OF IN ROBOT.</t>
    <phoneticPr fontId="1" type="noConversion"/>
  </si>
  <si>
    <t>MO_INSP_STAGE_Y_HOME_MOTION</t>
    <phoneticPr fontId="1" type="noConversion"/>
  </si>
  <si>
    <t>MO_INSP_STAGE_Y_LOAD_MOVE</t>
    <phoneticPr fontId="1" type="noConversion"/>
  </si>
  <si>
    <t>검사스테이지 Y축이 홈 동작 진행에 실패 했습니다</t>
    <phoneticPr fontId="1" type="noConversion"/>
  </si>
  <si>
    <t>검사스테이지 Y축 로드 위치 이동에 실패 했습니다 (IN로봇 위치)</t>
    <phoneticPr fontId="1" type="noConversion"/>
  </si>
  <si>
    <t>검사스테이지 Y축 언로드 위치 이동에 실패 했습니다 (OUT로봇 위치)</t>
    <phoneticPr fontId="1" type="noConversion"/>
  </si>
  <si>
    <t>검사스테이지 Y축 P1 촬상 위치 이동에 실패 했습니다</t>
    <phoneticPr fontId="1" type="noConversion"/>
  </si>
  <si>
    <t>검사스테이지 Y축 P2 촬상 위치 이동에 실패 했습니다</t>
    <phoneticPr fontId="1" type="noConversion"/>
  </si>
  <si>
    <t>MO_INSP_STAGE_Y_GRAB_P1_MOVE</t>
    <phoneticPr fontId="1" type="noConversion"/>
  </si>
  <si>
    <t>MO_INSP_STAGE_Y_GRAB_P2_MOVE</t>
    <phoneticPr fontId="1" type="noConversion"/>
  </si>
  <si>
    <t>INSPECTION_STAGE_Y_AXIS_HOME_MOTION_FAILED</t>
    <phoneticPr fontId="1" type="noConversion"/>
  </si>
  <si>
    <t>INSPECTION_STAGE_Y_AXIS_LOAD_POSITION_MOVE_FAILED (IN-ROBOT POSITION)</t>
    <phoneticPr fontId="1" type="noConversion"/>
  </si>
  <si>
    <t>INSPECTION_STAGE_Y_AXIS_GRAB_P1_POSITION_MOVE_FAILED</t>
    <phoneticPr fontId="1" type="noConversion"/>
  </si>
  <si>
    <t>INSPECTION_STAGE_Y_AXIS_GRAB_P2_POSITION_MOVE_FAILED</t>
    <phoneticPr fontId="1" type="noConversion"/>
  </si>
  <si>
    <t>INSPECTION_STAGE_Y_AXIS_UNLOAD_POSITION_MOVE_FAILED (OUT-ROBOT POSITION)</t>
    <phoneticPr fontId="1" type="noConversion"/>
  </si>
  <si>
    <t xml:space="preserve">INSPECTION STAGE trục Y HOME không hoạt động </t>
    <phoneticPr fontId="1" type="noConversion"/>
  </si>
  <si>
    <t>INSPECTION STAGE trục Y không thể di chuyển vị trí LOAD (IN-ROBOT POSITION)</t>
    <phoneticPr fontId="1" type="noConversion"/>
  </si>
  <si>
    <t>INSPECTION STAGE trục Y Không thể di chuyển vị trí GRAB P1</t>
    <phoneticPr fontId="1" type="noConversion"/>
  </si>
  <si>
    <t>INSPECTION STAGE trục Y Không thể di chuyển vị trí GRAB P2</t>
    <phoneticPr fontId="1" type="noConversion"/>
  </si>
  <si>
    <t>INSPECTION STAGE trục Y không thể di chuyển vị trí UNLOAD (OUT-ROBOT POSITION)</t>
    <phoneticPr fontId="1" type="noConversion"/>
  </si>
  <si>
    <t>검사스테이지 Y축 드라이버 상태 확인 후 홈 동작을 수행하세요.</t>
    <phoneticPr fontId="1" type="noConversion"/>
  </si>
  <si>
    <t>검사스테이지 Y축 드라이버 상태 확인해주세요.</t>
    <phoneticPr fontId="1" type="noConversion"/>
  </si>
  <si>
    <t>CHECK THE DRIVER STATUS OF THE INSPECTION STAGE Y AXIS AND THEN HOME OPERATION.</t>
    <phoneticPr fontId="1" type="noConversion"/>
  </si>
  <si>
    <t>CHECK THE DRIVER STATUS OF THE INSPECTION STAGE Y AXIS.</t>
    <phoneticPr fontId="1" type="noConversion"/>
  </si>
  <si>
    <t>Sau khi kiểm tra tình trạng  DRIVER trục Y - INSPECTION STAGE hãy tiến hành chạy HOME .</t>
    <phoneticPr fontId="1" type="noConversion"/>
  </si>
  <si>
    <t>Hãy kiểm tra DRIVER  trục Y - INSPECTION STAGE.</t>
    <phoneticPr fontId="1" type="noConversion"/>
  </si>
  <si>
    <t>MO_OUT_FLIP_R1_HOME_MOTION</t>
    <phoneticPr fontId="1" type="noConversion"/>
  </si>
  <si>
    <t>MO_OUT_FLIP_R1_LOAD_MOVE</t>
    <phoneticPr fontId="1" type="noConversion"/>
  </si>
  <si>
    <t>MO_INSP_STAGE_Y_UNLOAD_MOVE</t>
    <phoneticPr fontId="1" type="noConversion"/>
  </si>
  <si>
    <t>MO_OUT_FLIP_R1_UNLOAD_MOVE</t>
    <phoneticPr fontId="1" type="noConversion"/>
  </si>
  <si>
    <t>OUT플립 R1축이 홈 동작 진행에 실패 했습니다</t>
    <phoneticPr fontId="1" type="noConversion"/>
  </si>
  <si>
    <t>OUT플립 R1축 로드 위치 이동에 실패 했습니다 (OUT로봇 위치)</t>
    <phoneticPr fontId="1" type="noConversion"/>
  </si>
  <si>
    <t>OUT플립 R1축 언로드 위치 이동에 실패 했습니다 (OUT컨베이어 위치)</t>
    <phoneticPr fontId="1" type="noConversion"/>
  </si>
  <si>
    <t>OUT_FLIP_R1_AXIS_HOME_MOTION_FAILED</t>
    <phoneticPr fontId="1" type="noConversion"/>
  </si>
  <si>
    <t>OUT_FLIP_R1_AXIS_LOAD_POSITION_MOVE_FAILED (OUT-ROBOT POSITION)</t>
    <phoneticPr fontId="1" type="noConversion"/>
  </si>
  <si>
    <t>OUT_FLIP_R1_AXIS_UNLOAD_POSITION_MOVE_FAILED (OUT-CONVEYOR POSITION)</t>
    <phoneticPr fontId="1" type="noConversion"/>
  </si>
  <si>
    <t xml:space="preserve">OUT FLIP trục R1 HOME không hoạt động </t>
    <phoneticPr fontId="1" type="noConversion"/>
  </si>
  <si>
    <t>OUT FLIP trục R1 không thể di chuyển vị trí LOAD (OUT-ROBOT POSITION)</t>
    <phoneticPr fontId="1" type="noConversion"/>
  </si>
  <si>
    <t>OUT FLIP trục R1 không thể di chuyển vị trí UNLOAD (OUT-CONVEYOR POSITION)</t>
    <phoneticPr fontId="1" type="noConversion"/>
  </si>
  <si>
    <t>OUT플립 R1축 드라이버 상태 확인 후 홈 동작을 수행하세요.</t>
    <phoneticPr fontId="1" type="noConversion"/>
  </si>
  <si>
    <t>OUT플립 R1축 드라이버 상태 확인해주세요.</t>
    <phoneticPr fontId="1" type="noConversion"/>
  </si>
  <si>
    <t>CHECK THE DRIVER STATUS OF THE OUT FLIP R1 AXIS AND THEN HOME OPERATION.</t>
    <phoneticPr fontId="1" type="noConversion"/>
  </si>
  <si>
    <t>CHECK THE DRIVER STATUS OF THE OUT FLIP R1 AXIS.</t>
    <phoneticPr fontId="1" type="noConversion"/>
  </si>
  <si>
    <t>Sau khi kiểm tra tình trạng  DRIVER trục R1 - OUT FLIP hãy tiến hành chạy HOME .</t>
    <phoneticPr fontId="1" type="noConversion"/>
  </si>
  <si>
    <t>Hãy kiểm tra DRIVER  trục R1 - OUT FLIP.</t>
    <phoneticPr fontId="1" type="noConversion"/>
  </si>
  <si>
    <t>MO_OUT_FLIP_R2_HOME_MOTION</t>
    <phoneticPr fontId="1" type="noConversion"/>
  </si>
  <si>
    <t>MO_OUT_FLIP_R2_LOAD_MOVE</t>
    <phoneticPr fontId="1" type="noConversion"/>
  </si>
  <si>
    <t>MO_OUT_FLIP_R2_UNLOAD_MOVE</t>
    <phoneticPr fontId="1" type="noConversion"/>
  </si>
  <si>
    <t>OUT플립 R2축이 홈 동작 진행에 실패 했습니다</t>
    <phoneticPr fontId="1" type="noConversion"/>
  </si>
  <si>
    <t>OUT플립 R2축 로드 위치 이동에 실패 했습니다 (OUT로봇 위치)</t>
    <phoneticPr fontId="1" type="noConversion"/>
  </si>
  <si>
    <t>OUT플립 R2축 언로드 위치 이동에 실패 했습니다 (OUT컨베이어 위치)</t>
    <phoneticPr fontId="1" type="noConversion"/>
  </si>
  <si>
    <t>OUT_FLIP_R2_AXIS_HOME_MOTION_FAILED</t>
    <phoneticPr fontId="1" type="noConversion"/>
  </si>
  <si>
    <t>OUT_FLIP_R2_AXIS_LOAD_POSITION_MOVE_FAILED (OUT-ROBOT POSITION)</t>
    <phoneticPr fontId="1" type="noConversion"/>
  </si>
  <si>
    <t>OUT_FLIP_R2_AXIS_UNLOAD_POSITION_MOVE_FAILED (OUT-CONVEYOR POSITION)</t>
    <phoneticPr fontId="1" type="noConversion"/>
  </si>
  <si>
    <t xml:space="preserve">OUT FLIP trục R2 HOME không hoạt động </t>
    <phoneticPr fontId="1" type="noConversion"/>
  </si>
  <si>
    <t>OUT FLIP trục R2 không thể di chuyển vị trí LOAD (OUT-ROBOT POSITION)</t>
    <phoneticPr fontId="1" type="noConversion"/>
  </si>
  <si>
    <t>OUT FLIP trục R2 không thể di chuyển vị trí UNLOAD (OUT-CONVEYOR POSITION)</t>
    <phoneticPr fontId="1" type="noConversion"/>
  </si>
  <si>
    <t>OUT플립 R2축 드라이버 상태 확인 후 홈 동작을 수행하세요.</t>
    <phoneticPr fontId="1" type="noConversion"/>
  </si>
  <si>
    <t>OUT플립 R2축 드라이버 상태 확인해주세요.</t>
    <phoneticPr fontId="1" type="noConversion"/>
  </si>
  <si>
    <t>OUT플립 R2축 드라이버 상태 확인해주세요.</t>
    <phoneticPr fontId="1" type="noConversion"/>
  </si>
  <si>
    <t>CHECK THE DRIVER STATUS OF THE OUT FLIP R2 AXIS AND THEN HOME OPERATION.</t>
    <phoneticPr fontId="1" type="noConversion"/>
  </si>
  <si>
    <t>CHECK THE DRIVER STATUS OF THE OUT FLIP R2 AXIS.</t>
    <phoneticPr fontId="1" type="noConversion"/>
  </si>
  <si>
    <t>Sau khi kiểm tra tình trạng  DRIVER trục R2 - OUT FLIP hãy tiến hành chạy HOME .</t>
    <phoneticPr fontId="1" type="noConversion"/>
  </si>
  <si>
    <t>Hãy kiểm tra DRIVER  trục R2 - OUT FLIP.</t>
    <phoneticPr fontId="1" type="noConversion"/>
  </si>
  <si>
    <t>MO_OUT_FLIP_Z_HOME_MOTION</t>
    <phoneticPr fontId="1" type="noConversion"/>
  </si>
  <si>
    <t>OUT플립 Z축이 홈 동작 진행에 실패 했습니다</t>
    <phoneticPr fontId="1" type="noConversion"/>
  </si>
  <si>
    <t>OUT_FLIP_Z_AXIS_HOME_MOTION_FAILED</t>
    <phoneticPr fontId="1" type="noConversion"/>
  </si>
  <si>
    <t xml:space="preserve">OUT FLIP trục Z HOME không hoạt động </t>
    <phoneticPr fontId="1" type="noConversion"/>
  </si>
  <si>
    <t>OUT플립 Z축 드라이버 상태 확인 후 홈 동작을 수행하세요.</t>
    <phoneticPr fontId="1" type="noConversion"/>
  </si>
  <si>
    <t>OUT플립 Z축 드라이버 상태 확인해주세요.</t>
    <phoneticPr fontId="1" type="noConversion"/>
  </si>
  <si>
    <t>OUT플립 Z축 드라이버 상태 확인해주세요.</t>
    <phoneticPr fontId="1" type="noConversion"/>
  </si>
  <si>
    <t>CHECK THE DRIVER STATUS OF THE OUT FLIP Z AXIS AND THEN HOME OPERATION.</t>
    <phoneticPr fontId="1" type="noConversion"/>
  </si>
  <si>
    <t>CHECK THE DRIVER STATUS OF THE OUT FLIP Z AXIS.</t>
    <phoneticPr fontId="1" type="noConversion"/>
  </si>
  <si>
    <t>Sau khi kiểm tra tình trạng  DRIVER trục Z - OUT FLIP hãy tiến hành chạy HOME .</t>
    <phoneticPr fontId="1" type="noConversion"/>
  </si>
  <si>
    <t>Hãy kiểm tra DRIVER  trục Z - OUT FLIP.</t>
    <phoneticPr fontId="1" type="noConversion"/>
  </si>
  <si>
    <t>CO_INSP_PC_MAIN_N_DISCONNECTED</t>
    <phoneticPr fontId="1" type="noConversion"/>
  </si>
  <si>
    <t>CO_INSP_PC_MAIN_LIGHT_INTENCITY_REQUEST</t>
    <phoneticPr fontId="1" type="noConversion"/>
  </si>
  <si>
    <t>CO_INSP_PC_MAIN_LIGHT_TEMPERATURE_REQUEST</t>
    <phoneticPr fontId="1" type="noConversion"/>
  </si>
  <si>
    <t>CO_INSP_PC_MAIN_CHECK_STATUS_SEND</t>
    <phoneticPr fontId="1" type="noConversion"/>
  </si>
  <si>
    <t>CO_INSP_PC_MAIN_NOT_READY</t>
    <phoneticPr fontId="1" type="noConversion"/>
  </si>
  <si>
    <t>CO_INSP_PC_MAIN_GRAB_START_SEND</t>
    <phoneticPr fontId="1" type="noConversion"/>
  </si>
  <si>
    <t>CO_INSP_PC_MAIN_GRAB_START_VALIDATION</t>
    <phoneticPr fontId="1" type="noConversion"/>
  </si>
  <si>
    <t>CO_INSP_PC_MAIN_GRAB_END_TIMEOUT</t>
    <phoneticPr fontId="1" type="noConversion"/>
  </si>
  <si>
    <t>CO_INSP_PC_MAIN_GRAB_END_VALIDATION</t>
    <phoneticPr fontId="1" type="noConversion"/>
  </si>
  <si>
    <t>IN_INSP_PC_MAIN_TOTAL_RESULT_TIMEOUT</t>
    <phoneticPr fontId="1" type="noConversion"/>
  </si>
  <si>
    <t>IN_INSP_PC_MAIN_TOTAL_RESULT_NORESPONSE</t>
    <phoneticPr fontId="1" type="noConversion"/>
  </si>
  <si>
    <t>CO_INSP_PC_MAIN_ERROR</t>
    <phoneticPr fontId="1" type="noConversion"/>
  </si>
  <si>
    <t>CO_INSP_PC_MAIN_ERROR_SAME_POSITION_DEFECT</t>
    <phoneticPr fontId="1" type="noConversion"/>
  </si>
  <si>
    <t>CO_INSP_PC_MAIN_ERROR_CAMERA</t>
    <phoneticPr fontId="1" type="noConversion"/>
  </si>
  <si>
    <t>CO_INSP_PC_MAIN_ERROR_LIGHT_CONTROLLER</t>
    <phoneticPr fontId="1" type="noConversion"/>
  </si>
  <si>
    <t>외관 검사기 통신 연결이 끊어 졌습니다</t>
  </si>
  <si>
    <t>외관 검사 조명 광량 요청 Send 실패 하였습니다</t>
  </si>
  <si>
    <t>외관 검사기 조명 온도 요청 Send 실패 하였습니다</t>
  </si>
  <si>
    <t>외관 검사기 인터페이스 상태 확인 Send 실패 하였습니다</t>
  </si>
  <si>
    <t>외관 검사 스테이지 검사 준비 상태가 아닙니다</t>
  </si>
  <si>
    <t>외관 검사기 인터페이스 그랩 시작 Send 실패 하였습니다</t>
  </si>
  <si>
    <t>외관 검사기 인터페이스 그랩 시작 ReceiveData가 정확하지 않습니다</t>
  </si>
  <si>
    <t>외관 검사기 인터페이스 그랩 완료 ReceiveData가 정확하지 않습니다</t>
  </si>
  <si>
    <t>외관 검사기 종합 결과 응답 타임아웃 입니다</t>
  </si>
  <si>
    <t>외관 검사기 종합 결과 응답 연속 타임아웃 입니다</t>
  </si>
  <si>
    <t>JAVAS 외관 검사기에서 Error가 발생 하였습니다</t>
  </si>
  <si>
    <t>JAVAS 외관 검사 결과 동일한 위치에 손상이 발생 하였습니다</t>
  </si>
  <si>
    <t>외관 검사PC 카메라에 이상이 있습니다</t>
  </si>
  <si>
    <t>외관 검사PC 조명 컨트롤러에 이상이 있습니다</t>
  </si>
  <si>
    <t>INSP_INTERFACE_DISCONNECTED</t>
  </si>
  <si>
    <t>INSP_INTERFACE_LIGHT_INTENCITY_SEND_IS_FAILED</t>
  </si>
  <si>
    <t>INSP_INTERFACE_LIGHT_TEMP_SEND_IS_FAILED</t>
  </si>
  <si>
    <t>INSP_INTERFACE_CHECK_STATUS_SEND_IS_FAILED</t>
  </si>
  <si>
    <t>INSP_INTERFACE_IS_NOT_READY_STATUS</t>
  </si>
  <si>
    <t>INSP_INTERFACE_GRAB_START_SEND_IS_FAILED</t>
  </si>
  <si>
    <t>INSP_INTERFACE_GRAB_START_DATA_IS_NOT_ACCURATE</t>
  </si>
  <si>
    <t>INSP_INTERFACE_GRAB_COMPLETE_DATA_IS_NOT_ACCURATE</t>
  </si>
  <si>
    <t>INSP_INTERFACE_TOTAL_RESULT_THE_SUCCESSIVELY_RESPONSE_TIMEOUT</t>
  </si>
  <si>
    <t>INSP_INTERFACE_JAVAS_ERROR</t>
  </si>
  <si>
    <t>INSP_INTERFACE_SAME_POSITION_DEFECT_JAVAS_ALARM</t>
  </si>
  <si>
    <t>INSP_INTERFACE_CAMERA_CHECK_JAVAS_ALARM</t>
  </si>
  <si>
    <t>INSP_INTERFACE_LIGHT_CONTROLLER_CHECK_JAVAS_ALARM</t>
  </si>
  <si>
    <t>INSP_INTERFACE_TOTAL_RESULT_THE_RESPONSE_TIMEOUT</t>
    <phoneticPr fontId="1" type="noConversion"/>
  </si>
  <si>
    <t>INSP_INTERFACE_GRAB_COMPLETE_THE_RESPONSE_TIMEOUT</t>
    <phoneticPr fontId="1" type="noConversion"/>
  </si>
  <si>
    <t>삼성 외관 검사기 상태 확인해주세요.</t>
  </si>
  <si>
    <t>검사 PC의 외관 검사 결과 이미지를 확인해 주세요.</t>
  </si>
  <si>
    <t>검사 PC의 카메라를 확인해 주세요.</t>
  </si>
  <si>
    <t>검사 PC의 조명을 확인해 주세요.</t>
  </si>
  <si>
    <t>CHECK THE INSP INTERFACE STATUS.</t>
  </si>
  <si>
    <t>SAME POSITION DEFECT CHECK JAVAS ALARM. CHECK INSP RESULT.</t>
  </si>
  <si>
    <t>CAMERA CHECK JAVAS ALARM</t>
  </si>
  <si>
    <t>LIGHT CONTROLLER CHECK JAVAS ALARM</t>
  </si>
  <si>
    <t>Hãy kiểm tra tình trạng INSP INTERFACE</t>
  </si>
  <si>
    <t>Hãy kiểm tra  hình ảnh kết quả kiểm tra ngoại quan của INSP PC</t>
  </si>
  <si>
    <t>Hãy kiểm tra CAMERA của INSP PC</t>
  </si>
  <si>
    <t>Hãy kiểm tra LIGHT CONTROLLER của INSP PC</t>
  </si>
  <si>
    <t>OP_MAIN_MODEKEY_N_TEACH</t>
    <phoneticPr fontId="1" type="noConversion"/>
  </si>
  <si>
    <t>설비 구동중에 세이프티키가 TEACH로 변경되었습니다</t>
    <phoneticPr fontId="1" type="noConversion"/>
  </si>
  <si>
    <t>SAFTTY_KEY_IS_NOT_AUTO</t>
    <phoneticPr fontId="1" type="noConversion"/>
  </si>
  <si>
    <t>Trong khi chuyển động SAFTTY_KEY đã chuyển sang TEACH</t>
    <phoneticPr fontId="1" type="noConversion"/>
  </si>
  <si>
    <t>설비 세이프티 키를 오토로 변경 해주십시오.</t>
    <phoneticPr fontId="1" type="noConversion"/>
  </si>
  <si>
    <t>Safty Key turn AUTO</t>
    <phoneticPr fontId="1" type="noConversion"/>
  </si>
  <si>
    <t>Hãy chuyển Safty Key về chế độ tự động ( AUTO )</t>
    <phoneticPr fontId="1" type="noConversion"/>
  </si>
  <si>
    <t>VC_MAIN_VACUUM_MAIN_SUPPLY</t>
    <phoneticPr fontId="1" type="noConversion"/>
  </si>
  <si>
    <t>메인 진공 공압이 설정 값보다 낮아졌습니다</t>
    <phoneticPr fontId="1" type="noConversion"/>
  </si>
  <si>
    <t>MAIN_VAC_PRESSURE_SENSOR_ALARM</t>
    <phoneticPr fontId="1" type="noConversion"/>
  </si>
  <si>
    <t>VC_INSP_STAGE_VACUUM_MAIN_SUPPLY</t>
    <phoneticPr fontId="1" type="noConversion"/>
  </si>
  <si>
    <t>검사스테이지 메인 진공 공압이 설정 값보다 낮아졌습니다</t>
    <phoneticPr fontId="1" type="noConversion"/>
  </si>
  <si>
    <t>INSP_STAGE_MAIN_VAC_PRESSURE_SENSOR_ALARM</t>
    <phoneticPr fontId="1" type="noConversion"/>
  </si>
  <si>
    <r>
      <t>Áp suất khí nén chân không chính ( MAIN_VAC ) thấp h</t>
    </r>
    <r>
      <rPr>
        <sz val="11"/>
        <color theme="1"/>
        <rFont val="맑은 고딕"/>
        <family val="1"/>
        <scheme val="major"/>
      </rPr>
      <t>ơ</t>
    </r>
    <r>
      <rPr>
        <sz val="11"/>
        <color theme="1"/>
        <rFont val="맑은 고딕"/>
        <family val="1"/>
        <charset val="163"/>
        <scheme val="major"/>
      </rPr>
      <t>n giá trị đặt.</t>
    </r>
    <phoneticPr fontId="1" type="noConversion"/>
  </si>
  <si>
    <r>
      <t>Áp suất khí nén chân không chính ( INSP_STAGE_VAC ) thấp h</t>
    </r>
    <r>
      <rPr>
        <sz val="11"/>
        <color theme="1"/>
        <rFont val="맑은 고딕"/>
        <family val="1"/>
        <scheme val="major"/>
      </rPr>
      <t>ơ</t>
    </r>
    <r>
      <rPr>
        <sz val="11"/>
        <color theme="1"/>
        <rFont val="맑은 고딕"/>
        <family val="1"/>
        <charset val="163"/>
        <scheme val="major"/>
      </rPr>
      <t>n giá trị đặt.</t>
    </r>
    <phoneticPr fontId="1" type="noConversion"/>
  </si>
  <si>
    <t>메인 진공 공압 값을 확인해주세요.</t>
    <phoneticPr fontId="1" type="noConversion"/>
  </si>
  <si>
    <t>검사스테이지 메인 진공 공압 값을 확인해주세요.</t>
    <phoneticPr fontId="1" type="noConversion"/>
  </si>
  <si>
    <t>Main Vacuum Pressure Sensor or Main Vacuum Check</t>
    <phoneticPr fontId="1" type="noConversion"/>
  </si>
  <si>
    <t>Inspection Stage Main Vacuum Pressure Sensor or Main Vacuum Check</t>
    <phoneticPr fontId="1" type="noConversion"/>
  </si>
  <si>
    <t>Hãy kiểm tra giá trị khí nén chân không chính ( Main Vacuum Pressure Sensor or Main Vacuum )</t>
    <phoneticPr fontId="1" type="noConversion"/>
  </si>
  <si>
    <t>Hãy kiểm tra giá trị khí nén chân không chính ( Inspection Stage Main Vacuum Pressure Sensor or Main Vacuum )</t>
    <phoneticPr fontId="1" type="noConversion"/>
  </si>
  <si>
    <t>UT_MAIN_ELECTRONICBOX_FAN_1_STOP</t>
    <phoneticPr fontId="1" type="noConversion"/>
  </si>
  <si>
    <t>UT_MAIN_ELECTRONICBOX_FAN_2_STOP</t>
    <phoneticPr fontId="1" type="noConversion"/>
  </si>
  <si>
    <t>MAIN 전장반 FAN1이 정지했습니다</t>
    <phoneticPr fontId="1" type="noConversion"/>
  </si>
  <si>
    <t>MAIN 전장반 FAN2가 정지했습니다</t>
    <phoneticPr fontId="1" type="noConversion"/>
  </si>
  <si>
    <t>SAFETY_MAIN_ELECTRONICBOX_FAN_1_STOP_ALARM</t>
    <phoneticPr fontId="1" type="noConversion"/>
  </si>
  <si>
    <t>SAFETY_MAIN_ELECTRONICBOX_FAN_2_STOP_ALARM</t>
    <phoneticPr fontId="1" type="noConversion"/>
  </si>
  <si>
    <t xml:space="preserve">MAIN_ELECTRONICBOX_FAN_1 đã dừng </t>
    <phoneticPr fontId="1" type="noConversion"/>
  </si>
  <si>
    <t xml:space="preserve">MAIN_ELECTRONICBOX_FAN_2 đã dừng </t>
    <phoneticPr fontId="1" type="noConversion"/>
  </si>
  <si>
    <t>전장반에 팬1을 확인해주세요.</t>
    <phoneticPr fontId="1" type="noConversion"/>
  </si>
  <si>
    <t>전장반에 팬2를 확인해주세요.</t>
    <phoneticPr fontId="1" type="noConversion"/>
  </si>
  <si>
    <t>Main Electronic Box FAN1 Check</t>
    <phoneticPr fontId="1" type="noConversion"/>
  </si>
  <si>
    <t>Main Electronic Box FAN2 Check</t>
    <phoneticPr fontId="1" type="noConversion"/>
  </si>
  <si>
    <t>Hãy kiểm tra Main Electronic Box FAN1</t>
    <phoneticPr fontId="1" type="noConversion"/>
  </si>
  <si>
    <t>Hãy kiểm tra Main Electronic Box FAN2</t>
    <phoneticPr fontId="1" type="noConversion"/>
  </si>
  <si>
    <t>EM_MAIN_CONTROLPANEL_FRONT_EMS_X000</t>
    <phoneticPr fontId="1" type="noConversion"/>
  </si>
  <si>
    <t>EM_MAIN_CONTROLPANEL_REAR_EMS_X001</t>
    <phoneticPr fontId="1" type="noConversion"/>
  </si>
  <si>
    <t>DO_MAIN_ANY_DOOR_FORECE_RELEASED_X02A</t>
    <phoneticPr fontId="1" type="noConversion"/>
  </si>
  <si>
    <t>도어락이 강제로 해제되었습니다</t>
    <phoneticPr fontId="1" type="noConversion"/>
  </si>
  <si>
    <t>ANY_DOOR_LOCK_IS_FORCE_RELEASED</t>
    <phoneticPr fontId="1" type="noConversion"/>
  </si>
  <si>
    <t>PC 랙 온도가 40도를 초과 했습니다</t>
    <phoneticPr fontId="1" type="noConversion"/>
  </si>
  <si>
    <t>PC_RACK_OVER_40_TEMPERATURE_DEGREE</t>
    <phoneticPr fontId="1" type="noConversion"/>
  </si>
  <si>
    <t>PC 랙 온도컨트롤러 연결이 끊어졌습니다.</t>
    <phoneticPr fontId="1" type="noConversion"/>
  </si>
  <si>
    <t>PCRACK_TEMPERATURE_DISCONNECTED</t>
    <phoneticPr fontId="1" type="noConversion"/>
  </si>
  <si>
    <t>외관 검사기 인터페이스 그랩 완료 응답 타임아웃 입니다</t>
    <phoneticPr fontId="1" type="noConversion"/>
  </si>
  <si>
    <t xml:space="preserve">OUT CONVEYOR trục X2 HOME không hoạt động </t>
    <phoneticPr fontId="1" type="noConversion"/>
  </si>
  <si>
    <t>OUT CONVEYOR trục X2 không thể di chuyển vị trí UNLOAD (LOWER-EQUIPMENT POSITION)</t>
    <phoneticPr fontId="1" type="noConversion"/>
  </si>
  <si>
    <t>OUT_CONVEYOR_X2_AXIS_POSITION_RESET_FAILED</t>
    <phoneticPr fontId="1" type="noConversion"/>
  </si>
  <si>
    <t>MO_UNLOADER_CONVEYOR_X2_HOME_MOTION</t>
    <phoneticPr fontId="1" type="noConversion"/>
  </si>
  <si>
    <t>MO_UNLOADER_CONVEYOR_X2_POSITION_RESET</t>
    <phoneticPr fontId="1" type="noConversion"/>
  </si>
  <si>
    <t>MO_UNLOADER_CONVEYOR_X2_UNLOAD_MOVE</t>
    <phoneticPr fontId="1" type="noConversion"/>
  </si>
  <si>
    <t>OUT컨베이어 X2축이 홈 동작 진행에 실패 했습니다</t>
    <phoneticPr fontId="1" type="noConversion"/>
  </si>
  <si>
    <t>OUT컨베이어 X2축 포지션 초기화 동작에 실패 했습니다</t>
    <phoneticPr fontId="1" type="noConversion"/>
  </si>
  <si>
    <t>OUT컨베이어 X2축이 언로드 위치 이동에 실패 했습니다 (하류설비 위치)</t>
    <phoneticPr fontId="1" type="noConversion"/>
  </si>
  <si>
    <t>OUT_CONVEYOR_X2_AXIS_HOME_MOTION_FAILED</t>
    <phoneticPr fontId="1" type="noConversion"/>
  </si>
  <si>
    <t>OUT_CONVEYOR_X2_AXIS_UNLOAD_POSITION_MOVE_FAILED (LOWER-EQUIPMENT POSITION)</t>
    <phoneticPr fontId="1" type="noConversion"/>
  </si>
  <si>
    <t>OUT컨베이어 X2축 드라이버 상태 확인 후 홈 동작을 수행하세요.</t>
    <phoneticPr fontId="1" type="noConversion"/>
  </si>
  <si>
    <t>OUT컨베이어 X2축 드라이버 상태를 확인해주세요.</t>
    <phoneticPr fontId="1" type="noConversion"/>
  </si>
  <si>
    <t>CHECK THE DRIVER STATUS OF THE OUT CONVEYOR X2 AXIS AND THEN HOME OPERATION.</t>
    <phoneticPr fontId="1" type="noConversion"/>
  </si>
  <si>
    <t>CHECK THE DRIVER STATUS OF THE OUT CONVEYOR X2 AXIS.</t>
    <phoneticPr fontId="1" type="noConversion"/>
  </si>
  <si>
    <t>Sau khi kiểm tra tình trạng  DRIVER trục X2 - OUT CONVEYOR hãy tiến hành chạy HOME .</t>
    <phoneticPr fontId="1" type="noConversion"/>
  </si>
  <si>
    <t>Hãy kiểm tra DRIVER  trục X2 - OUT CONVEYOR.</t>
    <phoneticPr fontId="1" type="noConversion"/>
  </si>
  <si>
    <t>Hãy kiểm tra DRIVER  trục X2 - OUT CONVEYOR.</t>
    <phoneticPr fontId="1" type="noConversion"/>
  </si>
  <si>
    <t>MO_OUT_FLIP_Z_UP_MOVE</t>
    <phoneticPr fontId="1" type="noConversion"/>
  </si>
  <si>
    <t>MO_OUT_FLIP_Z_DOWN_MOVE</t>
    <phoneticPr fontId="1" type="noConversion"/>
  </si>
  <si>
    <t>OUT플립 Z축 상승 위치 이동에 실패 했습니다</t>
    <phoneticPr fontId="1" type="noConversion"/>
  </si>
  <si>
    <t>OUT플립 Z축 하강 위치 이동에 실패 했습니다</t>
    <phoneticPr fontId="1" type="noConversion"/>
  </si>
  <si>
    <t>OUT_FLIP_Z_AXIS_DOWN_POSITION_MOVE_FAILED</t>
    <phoneticPr fontId="1" type="noConversion"/>
  </si>
  <si>
    <t>OUT_FLIP_Z_AXIS_UP_POSITION_MOVE_FAILED</t>
    <phoneticPr fontId="1" type="noConversion"/>
  </si>
  <si>
    <t>OUT FLIP trục Z không thể di chuyển vị trí UP</t>
    <phoneticPr fontId="1" type="noConversion"/>
  </si>
  <si>
    <t>OUT FLIP trục Z không thể di chuyển vị trí DOWN</t>
    <phoneticPr fontId="1" type="noConversion"/>
  </si>
  <si>
    <t>CO_MAIN_ELECTRONICBOX_TEMPERATURE_DISCONNECTED</t>
    <phoneticPr fontId="1" type="noConversion"/>
  </si>
  <si>
    <t>CO_MAIN_PCRACK_TEMPERATURE_DISCONNECTED</t>
    <phoneticPr fontId="1" type="noConversion"/>
  </si>
  <si>
    <t>UT_MAIN_ELECTRONICBOX_TEMPERATURE_1_N_OVER40</t>
    <phoneticPr fontId="1" type="noConversion"/>
  </si>
  <si>
    <t>UT_MAIN_PCRACK_TEMPERATURE_1_N_OVER40</t>
    <phoneticPr fontId="1" type="noConversion"/>
  </si>
  <si>
    <t>UT_MAIN_ELECTRONICBOX_SMOKE_SENSOR_1_N_DETECTED</t>
    <phoneticPr fontId="1" type="noConversion"/>
  </si>
  <si>
    <t>MO_IN_SHUTTLE_X1_SCAN_START_WAIT_MOVE</t>
    <phoneticPr fontId="1" type="noConversion"/>
  </si>
  <si>
    <t>MO_IN_SHUTTLE_X1_SCAN_TRIGGER_START_MOVE</t>
    <phoneticPr fontId="1" type="noConversion"/>
  </si>
  <si>
    <t>MO_IN_SHUTTLE_X1_SCAN_TRIGGER_END_MOVE</t>
    <phoneticPr fontId="1" type="noConversion"/>
  </si>
  <si>
    <t>IN셔틀 X1축 스캔 시작 대기 위치 이동에 실패 했습니다</t>
    <phoneticPr fontId="1" type="noConversion"/>
  </si>
  <si>
    <t>IN셔틀 X1축 스캔 트리거 시작 위치 이동에 실패 했습니다</t>
    <phoneticPr fontId="1" type="noConversion"/>
  </si>
  <si>
    <t>IN셔틀 X1축 스캔 트리거 종료 위치 이동에 실패 했습니다</t>
    <phoneticPr fontId="1" type="noConversion"/>
  </si>
  <si>
    <t>IN_SHUTTLE_X1_AXIS_SCAN_START_WAIT_POSITION_MOVE_FAILED</t>
    <phoneticPr fontId="1" type="noConversion"/>
  </si>
  <si>
    <t>IN_SHUTTLE_X1_AXIS_SCAN_TRIGGER_START_POSITION_MOVE_FAILED</t>
    <phoneticPr fontId="1" type="noConversion"/>
  </si>
  <si>
    <t>IN_SHUTTLE_X1_AXIS_SCAN_TRIGGER_END_POSITION_MOVE_FAILED</t>
    <phoneticPr fontId="1" type="noConversion"/>
  </si>
  <si>
    <t>IN_SHUTTLE trục X1 không thể di chuyển vị trí SCAN START WAIT</t>
    <phoneticPr fontId="1" type="noConversion"/>
  </si>
  <si>
    <t>IN_SHUTTLE trục X1 không thể di chuyển vị trí SCAN TRIGGER START</t>
    <phoneticPr fontId="1" type="noConversion"/>
  </si>
  <si>
    <t>IN_SHUTTLE trục X1 không thể di chuyển vị trí SCAN TRIGGER END</t>
    <phoneticPr fontId="1" type="noConversion"/>
  </si>
  <si>
    <t>CO_INSP_PC_MAIN_AMO_GRAB_START_SEND</t>
    <phoneticPr fontId="1" type="noConversion"/>
  </si>
  <si>
    <t>CO_INSP_PC_MAIN_AMO_GRAB_START_VALIDATION</t>
    <phoneticPr fontId="1" type="noConversion"/>
  </si>
  <si>
    <t>CO_INSP_PC_MAIN_AMO_GRAB_END_SEND</t>
    <phoneticPr fontId="1" type="noConversion"/>
  </si>
  <si>
    <t>CO_INSP_PC_MAIN_AMO_GRAB_END_VALIDATION</t>
    <phoneticPr fontId="1" type="noConversion"/>
  </si>
  <si>
    <t>외관 검사기 인터페이스 AMO 그랩 시작 Send 실패 하였습니다 (간이 광학계)</t>
    <phoneticPr fontId="1" type="noConversion"/>
  </si>
  <si>
    <t>외관 검사기 인터페이스 AMO 그랩 시작 ReceiveData가 정확하지 않습니다 (간이 광학계)</t>
    <phoneticPr fontId="1" type="noConversion"/>
  </si>
  <si>
    <t>외관 검사기 인터페이스 AMO 그랩 완료 ReceiveData가 정확하지 않습니다 (간이 광학계)</t>
    <phoneticPr fontId="1" type="noConversion"/>
  </si>
  <si>
    <t>INSP_INTERFACE_AMO_GRAB_START_SEND_IS_FAILED (Sub-Optics)</t>
    <phoneticPr fontId="1" type="noConversion"/>
  </si>
  <si>
    <t>INSP_INTERFACE_AMO_GRAB_START_DATA_IS_NOT_ACCURATE (Sub-Optics)</t>
    <phoneticPr fontId="1" type="noConversion"/>
  </si>
  <si>
    <t>INSP_INTERFACE_AMO_GRAB_COMPLETE_DATA_IS_NOT_ACCURATE (Sub-Optics)</t>
    <phoneticPr fontId="1" type="noConversion"/>
  </si>
  <si>
    <t>외관 검사기 인터페이스 AMO 그랩 완료 Send 실패 하였습니다 (간이 광학계)</t>
    <phoneticPr fontId="1" type="noConversion"/>
  </si>
  <si>
    <t>INSP_INTERFACE_AMO_GRAB_COMPLETE_SEND_IS_FAILED (Sub-Optics)</t>
    <phoneticPr fontId="1" type="noConversion"/>
  </si>
  <si>
    <t>외관 검사기 인터페이스 셀 데이터 동기화 Send 실패 하였습니다</t>
    <phoneticPr fontId="1" type="noConversion"/>
  </si>
  <si>
    <t>외관 검사기 인터페이스 셀 데이터 동기화 ReceiveData가 정확하지 않습니다</t>
    <phoneticPr fontId="1" type="noConversion"/>
  </si>
  <si>
    <t>CO_INSP_PC_MAIN_CELL_DATA_SYNC_SEND</t>
    <phoneticPr fontId="1" type="noConversion"/>
  </si>
  <si>
    <t>CO_INSP_PC_MAIN_CELL_DATA_SYNC_VALIDATION</t>
    <phoneticPr fontId="1" type="noConversion"/>
  </si>
  <si>
    <t>INSP_INTERFACE_CELL_DATA_SYNC_SEND_IS_FAILED</t>
    <phoneticPr fontId="1" type="noConversion"/>
  </si>
  <si>
    <t>INSP_INTERFACE_CELL_DATA_SYNC_DATA_IS_NOT_ACCURATE</t>
    <phoneticPr fontId="1" type="noConversion"/>
  </si>
  <si>
    <t>MO_IN_SHUTTLE_X1_ALIGN_MOVE</t>
    <phoneticPr fontId="1" type="noConversion"/>
  </si>
  <si>
    <t>IN셔틀 X1축 얼라인 위치 이동에 실패 했습니다</t>
    <phoneticPr fontId="1" type="noConversion"/>
  </si>
  <si>
    <t>IN_SHUTTLE_X1_AXIS_ALIGN_POSITION_MOVE_FAILED</t>
    <phoneticPr fontId="1" type="noConversion"/>
  </si>
  <si>
    <t>IN_SHUTTLE trục X1 không thể di chuyển vị trí ALIGN</t>
    <phoneticPr fontId="1" type="noConversion"/>
  </si>
  <si>
    <t>LIGHT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</si>
</sst>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1"/>
      <charset val="163"/>
      <scheme val="maj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1"/>
      <scheme val="maj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49" fontId="0" fillId="0" borderId="0" xfId="0" applyNumberForma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11" xfId="0" applyFont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4"/>
  <sheetViews>
    <sheetView tabSelected="1" topLeftCell="P1" zoomScale="85" zoomScaleNormal="85" workbookViewId="0">
      <pane ySplit="1" topLeftCell="A113" activePane="bottomLeft" state="frozen"/>
      <selection pane="bottomLeft" activeCell="W132" sqref="W132"/>
    </sheetView>
  </sheetViews>
  <sheetFormatPr defaultRowHeight="16.5" x14ac:dyDescent="0.3"/>
  <cols>
    <col min="1" max="1" width="8.875" customWidth="1"/>
    <col min="2" max="2" width="2.125" customWidth="1"/>
    <col min="3" max="3" width="62.75" customWidth="1"/>
    <col min="4" max="4" width="1.875" customWidth="1"/>
    <col min="5" max="5" width="64.75" customWidth="1"/>
    <col min="6" max="6" width="1.875" customWidth="1"/>
    <col min="7" max="7" width="88.25" customWidth="1"/>
    <col min="8" max="8" width="1.875" customWidth="1"/>
    <col min="9" max="9" width="88.25" customWidth="1"/>
    <col min="10" max="10" width="1.875" customWidth="1"/>
    <col min="11" max="11" width="101.75" customWidth="1"/>
    <col min="12" max="12" width="1.875" customWidth="1"/>
    <col min="13" max="13" width="60.625" customWidth="1"/>
    <col min="14" max="14" width="1.875" customWidth="1"/>
    <col min="15" max="15" width="89.625" customWidth="1"/>
    <col min="16" max="16" width="1.875" customWidth="1"/>
    <col min="17" max="17" width="89.625" customWidth="1"/>
    <col min="18" max="18" width="1.875" customWidth="1"/>
    <col min="19" max="19" width="111.25" customWidth="1"/>
    <col min="20" max="20" width="1.875" customWidth="1"/>
    <col min="21" max="21" width="7.375" customWidth="1"/>
    <col min="22" max="22" width="1.875" customWidth="1"/>
    <col min="23" max="23" width="30" customWidth="1"/>
    <col min="24" max="24" width="1.875" customWidth="1"/>
    <col min="25" max="25" width="10.125" customWidth="1"/>
    <col min="26" max="26" width="1.875" customWidth="1"/>
    <col min="27" max="27" width="19" customWidth="1"/>
    <col min="28" max="28" width="2.125" customWidth="1"/>
    <col min="29" max="29" width="18.875" customWidth="1"/>
    <col min="30" max="30" width="1.875" customWidth="1"/>
    <col min="31" max="31" width="24.375" customWidth="1"/>
    <col min="32" max="32" width="1.875" customWidth="1"/>
    <col min="33" max="33" width="25.125" customWidth="1"/>
    <col min="35" max="35" width="2" style="18" customWidth="1"/>
    <col min="36" max="36" width="9" style="20"/>
  </cols>
  <sheetData>
    <row r="1" spans="1:39" x14ac:dyDescent="0.3">
      <c r="A1" t="s">
        <v>0</v>
      </c>
      <c r="B1" t="s">
        <v>20</v>
      </c>
      <c r="C1" t="s">
        <v>185</v>
      </c>
      <c r="D1" t="s">
        <v>20</v>
      </c>
      <c r="E1" t="s">
        <v>1</v>
      </c>
      <c r="F1" t="s">
        <v>20</v>
      </c>
      <c r="G1" t="s">
        <v>2</v>
      </c>
      <c r="H1" t="s">
        <v>20</v>
      </c>
      <c r="I1" t="s">
        <v>3</v>
      </c>
      <c r="J1" t="s">
        <v>20</v>
      </c>
      <c r="K1" t="s">
        <v>4</v>
      </c>
      <c r="L1" t="s">
        <v>20</v>
      </c>
      <c r="M1" t="s">
        <v>5</v>
      </c>
      <c r="N1" t="s">
        <v>20</v>
      </c>
      <c r="O1" t="s">
        <v>6</v>
      </c>
      <c r="P1" t="s">
        <v>20</v>
      </c>
      <c r="Q1" t="s">
        <v>7</v>
      </c>
      <c r="R1" t="s">
        <v>20</v>
      </c>
      <c r="S1" t="s">
        <v>8</v>
      </c>
      <c r="T1" t="s">
        <v>20</v>
      </c>
      <c r="U1" t="s">
        <v>9</v>
      </c>
      <c r="V1" t="s">
        <v>20</v>
      </c>
      <c r="W1" t="s">
        <v>10</v>
      </c>
      <c r="X1" t="s">
        <v>20</v>
      </c>
      <c r="Y1" t="s">
        <v>11</v>
      </c>
      <c r="Z1" t="s">
        <v>20</v>
      </c>
      <c r="AA1" t="s">
        <v>12</v>
      </c>
      <c r="AB1" t="s">
        <v>20</v>
      </c>
      <c r="AC1" t="s">
        <v>13</v>
      </c>
      <c r="AD1" t="s">
        <v>20</v>
      </c>
      <c r="AE1" t="s">
        <v>14</v>
      </c>
      <c r="AF1" t="s">
        <v>20</v>
      </c>
      <c r="AG1" t="s">
        <v>15</v>
      </c>
      <c r="AJ1" s="20" t="s">
        <v>104</v>
      </c>
      <c r="AK1" t="s">
        <v>103</v>
      </c>
      <c r="AL1" t="s">
        <v>186</v>
      </c>
      <c r="AM1" t="s">
        <v>150</v>
      </c>
    </row>
    <row r="2" spans="1:39" x14ac:dyDescent="0.3">
      <c r="A2">
        <f>AL2</f>
        <v>10000</v>
      </c>
      <c r="B2" t="s">
        <v>20</v>
      </c>
      <c r="C2" t="s">
        <v>795</v>
      </c>
      <c r="D2" t="s">
        <v>20</v>
      </c>
      <c r="E2" t="s">
        <v>477</v>
      </c>
      <c r="F2" t="s">
        <v>20</v>
      </c>
      <c r="G2" t="s">
        <v>151</v>
      </c>
      <c r="H2" t="s">
        <v>20</v>
      </c>
      <c r="I2" t="s">
        <v>151</v>
      </c>
      <c r="J2" t="s">
        <v>20</v>
      </c>
      <c r="K2" t="s">
        <v>151</v>
      </c>
      <c r="L2" t="s">
        <v>20</v>
      </c>
      <c r="M2" t="s">
        <v>16</v>
      </c>
      <c r="N2" t="s">
        <v>20</v>
      </c>
      <c r="O2" t="s">
        <v>18</v>
      </c>
      <c r="P2" t="s">
        <v>20</v>
      </c>
      <c r="Q2" t="s">
        <v>18</v>
      </c>
      <c r="R2" t="s">
        <v>20</v>
      </c>
      <c r="S2" t="s">
        <v>74</v>
      </c>
      <c r="T2" t="s">
        <v>20</v>
      </c>
      <c r="U2" t="s">
        <v>21</v>
      </c>
      <c r="V2" t="s">
        <v>20</v>
      </c>
      <c r="W2" t="s">
        <v>187</v>
      </c>
      <c r="X2" t="s">
        <v>20</v>
      </c>
      <c r="Y2" t="s">
        <v>19</v>
      </c>
      <c r="Z2" t="s">
        <v>20</v>
      </c>
      <c r="AA2">
        <v>1.6051369999999999E-2</v>
      </c>
      <c r="AB2" t="s">
        <v>20</v>
      </c>
      <c r="AC2">
        <v>2.9947919999999999E-2</v>
      </c>
      <c r="AD2" t="s">
        <v>20</v>
      </c>
      <c r="AE2">
        <v>4.8154089999999997E-2</v>
      </c>
      <c r="AF2" t="s">
        <v>20</v>
      </c>
      <c r="AG2">
        <v>0.94010419999999995</v>
      </c>
      <c r="AJ2" t="str">
        <f>VLOOKUP(Sheet1!W2,'알람 범위'!$D$2:$F$45,3,FALSE)</f>
        <v>10000</v>
      </c>
      <c r="AK2">
        <v>0</v>
      </c>
      <c r="AL2">
        <f t="shared" ref="AL2:AL58" si="0">AJ2+AK2</f>
        <v>10000</v>
      </c>
      <c r="AM2" t="str">
        <f>C2</f>
        <v>EM_UPPER_EQUIPMENT_N_EMERGENCY_STATE</v>
      </c>
    </row>
    <row r="3" spans="1:39" x14ac:dyDescent="0.3">
      <c r="A3">
        <f>AL3</f>
        <v>10001</v>
      </c>
      <c r="B3" t="s">
        <v>20</v>
      </c>
      <c r="C3" t="s">
        <v>289</v>
      </c>
      <c r="D3" t="s">
        <v>20</v>
      </c>
      <c r="E3" t="s">
        <v>474</v>
      </c>
      <c r="F3" t="s">
        <v>20</v>
      </c>
      <c r="G3" t="s">
        <v>290</v>
      </c>
      <c r="H3" t="s">
        <v>20</v>
      </c>
      <c r="I3" t="s">
        <v>290</v>
      </c>
      <c r="J3" t="s">
        <v>20</v>
      </c>
      <c r="K3" t="s">
        <v>290</v>
      </c>
      <c r="L3" t="s">
        <v>20</v>
      </c>
      <c r="M3" t="s">
        <v>16</v>
      </c>
      <c r="N3" t="s">
        <v>20</v>
      </c>
      <c r="O3" t="s">
        <v>18</v>
      </c>
      <c r="P3" t="s">
        <v>20</v>
      </c>
      <c r="Q3" t="s">
        <v>18</v>
      </c>
      <c r="R3" t="s">
        <v>20</v>
      </c>
      <c r="S3" t="s">
        <v>74</v>
      </c>
      <c r="T3" t="s">
        <v>20</v>
      </c>
      <c r="U3" t="s">
        <v>1053</v>
      </c>
      <c r="V3" t="s">
        <v>20</v>
      </c>
      <c r="W3" t="s">
        <v>32</v>
      </c>
      <c r="X3" t="s">
        <v>20</v>
      </c>
      <c r="Y3" t="s">
        <v>19</v>
      </c>
      <c r="Z3" t="s">
        <v>20</v>
      </c>
      <c r="AA3">
        <v>1.6051369999999999E-2</v>
      </c>
      <c r="AB3" t="s">
        <v>20</v>
      </c>
      <c r="AC3">
        <v>2.9947919999999999E-2</v>
      </c>
      <c r="AD3" t="s">
        <v>20</v>
      </c>
      <c r="AE3">
        <v>4.8154089999999997E-2</v>
      </c>
      <c r="AF3" t="s">
        <v>20</v>
      </c>
      <c r="AG3">
        <v>0.94010419999999995</v>
      </c>
      <c r="AJ3" t="str">
        <f>VLOOKUP(Sheet1!W3,'알람 범위'!$D$2:$F$45,3,FALSE)</f>
        <v>10000</v>
      </c>
      <c r="AK3">
        <v>1</v>
      </c>
      <c r="AL3">
        <f t="shared" si="0"/>
        <v>10001</v>
      </c>
      <c r="AM3" t="str">
        <f t="shared" ref="AM3:AM65" si="1">C3</f>
        <v>EM_UPPER_EQUIPMENT_DOOR_OPEN</v>
      </c>
    </row>
    <row r="4" spans="1:39" x14ac:dyDescent="0.3">
      <c r="A4">
        <f t="shared" ref="A4:A16" si="2">AL4</f>
        <v>10500</v>
      </c>
      <c r="B4" t="s">
        <v>20</v>
      </c>
      <c r="C4" t="s">
        <v>300</v>
      </c>
      <c r="D4" t="s">
        <v>20</v>
      </c>
      <c r="E4" t="s">
        <v>425</v>
      </c>
      <c r="F4" t="s">
        <v>20</v>
      </c>
      <c r="G4" t="s">
        <v>306</v>
      </c>
      <c r="H4" t="s">
        <v>20</v>
      </c>
      <c r="I4" t="s">
        <v>306</v>
      </c>
      <c r="J4" t="s">
        <v>20</v>
      </c>
      <c r="K4" s="19" t="s">
        <v>313</v>
      </c>
      <c r="L4" t="s">
        <v>20</v>
      </c>
      <c r="M4" t="s">
        <v>444</v>
      </c>
      <c r="N4" t="s">
        <v>20</v>
      </c>
      <c r="O4" t="s">
        <v>314</v>
      </c>
      <c r="P4" t="s">
        <v>20</v>
      </c>
      <c r="Q4" t="s">
        <v>314</v>
      </c>
      <c r="R4" t="s">
        <v>20</v>
      </c>
      <c r="S4" s="19" t="s">
        <v>318</v>
      </c>
      <c r="T4" t="s">
        <v>20</v>
      </c>
      <c r="U4" t="s">
        <v>95</v>
      </c>
      <c r="V4" t="s">
        <v>20</v>
      </c>
      <c r="W4" t="s">
        <v>320</v>
      </c>
      <c r="X4" t="s">
        <v>20</v>
      </c>
      <c r="Y4" t="s">
        <v>19</v>
      </c>
      <c r="Z4" t="s">
        <v>20</v>
      </c>
      <c r="AA4">
        <v>1.7656499999999999E-2</v>
      </c>
      <c r="AB4" t="s">
        <v>20</v>
      </c>
      <c r="AC4">
        <v>0.453125</v>
      </c>
      <c r="AD4" t="s">
        <v>20</v>
      </c>
      <c r="AE4">
        <v>0.51845909999999995</v>
      </c>
      <c r="AF4" t="s">
        <v>20</v>
      </c>
      <c r="AG4">
        <v>0.1315104</v>
      </c>
      <c r="AJ4" t="str">
        <f>VLOOKUP(Sheet1!W4,'알람 범위'!$D$2:$F$45,3,FALSE)</f>
        <v>10500</v>
      </c>
      <c r="AK4">
        <v>0</v>
      </c>
      <c r="AL4">
        <f t="shared" ref="AL4:AL16" si="3">AJ4+AK4</f>
        <v>10500</v>
      </c>
      <c r="AM4" t="str">
        <f t="shared" si="1"/>
        <v>MO_IN_SHUTTLE_X1_HOME_MOTION</v>
      </c>
    </row>
    <row r="5" spans="1:39" x14ac:dyDescent="0.3">
      <c r="A5">
        <f t="shared" si="2"/>
        <v>10501</v>
      </c>
      <c r="B5" t="s">
        <v>20</v>
      </c>
      <c r="C5" t="s">
        <v>409</v>
      </c>
      <c r="D5" t="s">
        <v>20</v>
      </c>
      <c r="E5" t="s">
        <v>426</v>
      </c>
      <c r="F5" t="s">
        <v>20</v>
      </c>
      <c r="G5" t="s">
        <v>411</v>
      </c>
      <c r="H5" t="s">
        <v>20</v>
      </c>
      <c r="I5" t="s">
        <v>411</v>
      </c>
      <c r="J5" t="s">
        <v>20</v>
      </c>
      <c r="K5" s="19" t="s">
        <v>414</v>
      </c>
      <c r="L5" t="s">
        <v>20</v>
      </c>
      <c r="M5" t="s">
        <v>445</v>
      </c>
      <c r="N5" t="s">
        <v>20</v>
      </c>
      <c r="O5" t="s">
        <v>315</v>
      </c>
      <c r="P5" t="s">
        <v>20</v>
      </c>
      <c r="Q5" t="s">
        <v>315</v>
      </c>
      <c r="R5" t="s">
        <v>20</v>
      </c>
      <c r="S5" s="19" t="s">
        <v>319</v>
      </c>
      <c r="T5" t="s">
        <v>20</v>
      </c>
      <c r="U5" t="s">
        <v>21</v>
      </c>
      <c r="V5" t="s">
        <v>20</v>
      </c>
      <c r="W5" t="s">
        <v>321</v>
      </c>
      <c r="X5" t="s">
        <v>20</v>
      </c>
      <c r="Y5" t="s">
        <v>19</v>
      </c>
      <c r="Z5" t="s">
        <v>20</v>
      </c>
      <c r="AA5">
        <v>1.7656499999999999E-2</v>
      </c>
      <c r="AB5" t="s">
        <v>20</v>
      </c>
      <c r="AC5">
        <v>0.453125</v>
      </c>
      <c r="AD5" t="s">
        <v>20</v>
      </c>
      <c r="AE5">
        <v>0.51845909999999995</v>
      </c>
      <c r="AF5" t="s">
        <v>20</v>
      </c>
      <c r="AG5">
        <v>0.1315104</v>
      </c>
      <c r="AJ5" t="str">
        <f>VLOOKUP(Sheet1!W5,'알람 범위'!$D$2:$F$45,3,FALSE)</f>
        <v>10500</v>
      </c>
      <c r="AK5">
        <v>1</v>
      </c>
      <c r="AL5">
        <f t="shared" si="3"/>
        <v>10501</v>
      </c>
      <c r="AM5" t="str">
        <f t="shared" si="1"/>
        <v>MO_IN_SHUTTLE_X1_LOAD_MOVE</v>
      </c>
    </row>
    <row r="6" spans="1:39" x14ac:dyDescent="0.3">
      <c r="A6">
        <f t="shared" ref="A6:A8" si="4">AL6</f>
        <v>10502</v>
      </c>
      <c r="B6" t="s">
        <v>20</v>
      </c>
      <c r="C6" t="s">
        <v>1019</v>
      </c>
      <c r="D6" t="s">
        <v>20</v>
      </c>
      <c r="E6" t="s">
        <v>1022</v>
      </c>
      <c r="F6" t="s">
        <v>20</v>
      </c>
      <c r="G6" t="s">
        <v>1025</v>
      </c>
      <c r="H6" t="s">
        <v>20</v>
      </c>
      <c r="I6" t="s">
        <v>1025</v>
      </c>
      <c r="J6" t="s">
        <v>20</v>
      </c>
      <c r="K6" s="19" t="s">
        <v>1028</v>
      </c>
      <c r="L6" t="s">
        <v>20</v>
      </c>
      <c r="M6" t="s">
        <v>445</v>
      </c>
      <c r="N6" t="s">
        <v>20</v>
      </c>
      <c r="O6" t="s">
        <v>315</v>
      </c>
      <c r="P6" t="s">
        <v>20</v>
      </c>
      <c r="Q6" t="s">
        <v>315</v>
      </c>
      <c r="R6" t="s">
        <v>20</v>
      </c>
      <c r="S6" s="19" t="s">
        <v>319</v>
      </c>
      <c r="T6" t="s">
        <v>20</v>
      </c>
      <c r="U6" t="s">
        <v>21</v>
      </c>
      <c r="V6" t="s">
        <v>20</v>
      </c>
      <c r="W6" t="s">
        <v>297</v>
      </c>
      <c r="X6" t="s">
        <v>20</v>
      </c>
      <c r="Y6" t="s">
        <v>19</v>
      </c>
      <c r="Z6" t="s">
        <v>20</v>
      </c>
      <c r="AA6">
        <v>1.7656499999999999E-2</v>
      </c>
      <c r="AB6" t="s">
        <v>20</v>
      </c>
      <c r="AC6">
        <v>0.453125</v>
      </c>
      <c r="AD6" t="s">
        <v>20</v>
      </c>
      <c r="AE6">
        <v>0.51845909999999995</v>
      </c>
      <c r="AF6" t="s">
        <v>20</v>
      </c>
      <c r="AG6">
        <v>0.1315104</v>
      </c>
      <c r="AJ6" t="str">
        <f>VLOOKUP(Sheet1!W6,'알람 범위'!$D$2:$F$45,3,FALSE)</f>
        <v>10500</v>
      </c>
      <c r="AK6">
        <v>2</v>
      </c>
      <c r="AL6">
        <f t="shared" ref="AL6:AL8" si="5">AJ6+AK6</f>
        <v>10502</v>
      </c>
      <c r="AM6" t="str">
        <f t="shared" si="1"/>
        <v>MO_IN_SHUTTLE_X1_SCAN_START_WAIT_MOVE</v>
      </c>
    </row>
    <row r="7" spans="1:39" x14ac:dyDescent="0.3">
      <c r="A7">
        <f t="shared" si="4"/>
        <v>10503</v>
      </c>
      <c r="B7" t="s">
        <v>20</v>
      </c>
      <c r="C7" t="s">
        <v>1020</v>
      </c>
      <c r="D7" t="s">
        <v>20</v>
      </c>
      <c r="E7" t="s">
        <v>1023</v>
      </c>
      <c r="F7" t="s">
        <v>20</v>
      </c>
      <c r="G7" t="s">
        <v>1026</v>
      </c>
      <c r="H7" t="s">
        <v>20</v>
      </c>
      <c r="I7" t="s">
        <v>1026</v>
      </c>
      <c r="J7" t="s">
        <v>20</v>
      </c>
      <c r="K7" s="19" t="s">
        <v>1029</v>
      </c>
      <c r="L7" t="s">
        <v>20</v>
      </c>
      <c r="M7" t="s">
        <v>445</v>
      </c>
      <c r="N7" t="s">
        <v>20</v>
      </c>
      <c r="O7" t="s">
        <v>315</v>
      </c>
      <c r="P7" t="s">
        <v>20</v>
      </c>
      <c r="Q7" t="s">
        <v>315</v>
      </c>
      <c r="R7" t="s">
        <v>20</v>
      </c>
      <c r="S7" s="19" t="s">
        <v>319</v>
      </c>
      <c r="T7" t="s">
        <v>20</v>
      </c>
      <c r="U7" t="s">
        <v>21</v>
      </c>
      <c r="V7" t="s">
        <v>20</v>
      </c>
      <c r="W7" t="s">
        <v>297</v>
      </c>
      <c r="X7" t="s">
        <v>20</v>
      </c>
      <c r="Y7" t="s">
        <v>19</v>
      </c>
      <c r="Z7" t="s">
        <v>20</v>
      </c>
      <c r="AA7">
        <v>1.7656499999999999E-2</v>
      </c>
      <c r="AB7" t="s">
        <v>20</v>
      </c>
      <c r="AC7">
        <v>0.453125</v>
      </c>
      <c r="AD7" t="s">
        <v>20</v>
      </c>
      <c r="AE7">
        <v>0.51845909999999995</v>
      </c>
      <c r="AF7" t="s">
        <v>20</v>
      </c>
      <c r="AG7">
        <v>0.1315104</v>
      </c>
      <c r="AJ7" t="str">
        <f>VLOOKUP(Sheet1!W7,'알람 범위'!$D$2:$F$45,3,FALSE)</f>
        <v>10500</v>
      </c>
      <c r="AK7">
        <v>3</v>
      </c>
      <c r="AL7">
        <f t="shared" si="5"/>
        <v>10503</v>
      </c>
      <c r="AM7" t="str">
        <f t="shared" si="1"/>
        <v>MO_IN_SHUTTLE_X1_SCAN_TRIGGER_START_MOVE</v>
      </c>
    </row>
    <row r="8" spans="1:39" x14ac:dyDescent="0.3">
      <c r="A8">
        <f t="shared" si="4"/>
        <v>10504</v>
      </c>
      <c r="B8" t="s">
        <v>20</v>
      </c>
      <c r="C8" t="s">
        <v>1021</v>
      </c>
      <c r="D8" t="s">
        <v>20</v>
      </c>
      <c r="E8" t="s">
        <v>1024</v>
      </c>
      <c r="F8" t="s">
        <v>20</v>
      </c>
      <c r="G8" t="s">
        <v>1027</v>
      </c>
      <c r="H8" t="s">
        <v>20</v>
      </c>
      <c r="I8" t="s">
        <v>1027</v>
      </c>
      <c r="J8" t="s">
        <v>20</v>
      </c>
      <c r="K8" s="19" t="s">
        <v>1030</v>
      </c>
      <c r="L8" t="s">
        <v>20</v>
      </c>
      <c r="M8" t="s">
        <v>445</v>
      </c>
      <c r="N8" t="s">
        <v>20</v>
      </c>
      <c r="O8" t="s">
        <v>315</v>
      </c>
      <c r="P8" t="s">
        <v>20</v>
      </c>
      <c r="Q8" t="s">
        <v>315</v>
      </c>
      <c r="R8" t="s">
        <v>20</v>
      </c>
      <c r="S8" s="19" t="s">
        <v>319</v>
      </c>
      <c r="T8" t="s">
        <v>20</v>
      </c>
      <c r="U8" t="s">
        <v>21</v>
      </c>
      <c r="V8" t="s">
        <v>20</v>
      </c>
      <c r="W8" t="s">
        <v>297</v>
      </c>
      <c r="X8" t="s">
        <v>20</v>
      </c>
      <c r="Y8" t="s">
        <v>19</v>
      </c>
      <c r="Z8" t="s">
        <v>20</v>
      </c>
      <c r="AA8">
        <v>1.7656499999999999E-2</v>
      </c>
      <c r="AB8" t="s">
        <v>20</v>
      </c>
      <c r="AC8">
        <v>0.453125</v>
      </c>
      <c r="AD8" t="s">
        <v>20</v>
      </c>
      <c r="AE8">
        <v>0.51845909999999995</v>
      </c>
      <c r="AF8" t="s">
        <v>20</v>
      </c>
      <c r="AG8">
        <v>0.1315104</v>
      </c>
      <c r="AJ8" t="str">
        <f>VLOOKUP(Sheet1!W8,'알람 범위'!$D$2:$F$45,3,FALSE)</f>
        <v>10500</v>
      </c>
      <c r="AK8">
        <v>4</v>
      </c>
      <c r="AL8">
        <f t="shared" si="5"/>
        <v>10504</v>
      </c>
      <c r="AM8" t="str">
        <f t="shared" si="1"/>
        <v>MO_IN_SHUTTLE_X1_SCAN_TRIGGER_END_MOVE</v>
      </c>
    </row>
    <row r="9" spans="1:39" x14ac:dyDescent="0.3">
      <c r="A9">
        <f t="shared" si="2"/>
        <v>10505</v>
      </c>
      <c r="B9" t="s">
        <v>20</v>
      </c>
      <c r="C9" t="s">
        <v>1049</v>
      </c>
      <c r="D9" t="s">
        <v>20</v>
      </c>
      <c r="E9" t="s">
        <v>1050</v>
      </c>
      <c r="F9" t="s">
        <v>20</v>
      </c>
      <c r="G9" t="s">
        <v>1051</v>
      </c>
      <c r="H9" t="s">
        <v>20</v>
      </c>
      <c r="I9" t="s">
        <v>1051</v>
      </c>
      <c r="J9" t="s">
        <v>20</v>
      </c>
      <c r="K9" s="19" t="s">
        <v>1052</v>
      </c>
      <c r="L9" t="s">
        <v>20</v>
      </c>
      <c r="M9" t="s">
        <v>445</v>
      </c>
      <c r="N9" t="s">
        <v>20</v>
      </c>
      <c r="O9" t="s">
        <v>315</v>
      </c>
      <c r="P9" t="s">
        <v>20</v>
      </c>
      <c r="Q9" t="s">
        <v>315</v>
      </c>
      <c r="R9" t="s">
        <v>20</v>
      </c>
      <c r="S9" s="19" t="s">
        <v>319</v>
      </c>
      <c r="T9" t="s">
        <v>20</v>
      </c>
      <c r="U9" t="s">
        <v>21</v>
      </c>
      <c r="V9" t="s">
        <v>20</v>
      </c>
      <c r="W9" t="s">
        <v>322</v>
      </c>
      <c r="X9" t="s">
        <v>20</v>
      </c>
      <c r="Y9" t="s">
        <v>19</v>
      </c>
      <c r="Z9" t="s">
        <v>20</v>
      </c>
      <c r="AA9">
        <v>1.7656499999999999E-2</v>
      </c>
      <c r="AB9" t="s">
        <v>20</v>
      </c>
      <c r="AC9">
        <v>0.453125</v>
      </c>
      <c r="AD9" t="s">
        <v>20</v>
      </c>
      <c r="AE9">
        <v>0.51845909999999995</v>
      </c>
      <c r="AF9" t="s">
        <v>20</v>
      </c>
      <c r="AG9">
        <v>0.1315104</v>
      </c>
      <c r="AJ9" t="str">
        <f>VLOOKUP(Sheet1!W9,'알람 범위'!$D$2:$F$45,3,FALSE)</f>
        <v>10500</v>
      </c>
      <c r="AK9">
        <v>5</v>
      </c>
      <c r="AL9">
        <f t="shared" si="3"/>
        <v>10505</v>
      </c>
      <c r="AM9" t="str">
        <f t="shared" si="1"/>
        <v>MO_IN_SHUTTLE_X1_ALIGN_MOVE</v>
      </c>
    </row>
    <row r="10" spans="1:39" x14ac:dyDescent="0.3">
      <c r="A10">
        <f t="shared" si="2"/>
        <v>10506</v>
      </c>
      <c r="B10" t="s">
        <v>20</v>
      </c>
      <c r="C10" t="s">
        <v>410</v>
      </c>
      <c r="D10" t="s">
        <v>20</v>
      </c>
      <c r="E10" t="s">
        <v>427</v>
      </c>
      <c r="F10" t="s">
        <v>20</v>
      </c>
      <c r="G10" t="s">
        <v>412</v>
      </c>
      <c r="H10" t="s">
        <v>20</v>
      </c>
      <c r="I10" t="s">
        <v>412</v>
      </c>
      <c r="J10" t="s">
        <v>20</v>
      </c>
      <c r="K10" s="19" t="s">
        <v>413</v>
      </c>
      <c r="L10" t="s">
        <v>20</v>
      </c>
      <c r="M10" t="s">
        <v>445</v>
      </c>
      <c r="N10" t="s">
        <v>20</v>
      </c>
      <c r="O10" t="s">
        <v>315</v>
      </c>
      <c r="P10" t="s">
        <v>20</v>
      </c>
      <c r="Q10" t="s">
        <v>315</v>
      </c>
      <c r="R10" t="s">
        <v>20</v>
      </c>
      <c r="S10" s="19" t="s">
        <v>319</v>
      </c>
      <c r="T10" t="s">
        <v>20</v>
      </c>
      <c r="U10" t="s">
        <v>21</v>
      </c>
      <c r="V10" t="s">
        <v>20</v>
      </c>
      <c r="W10" t="s">
        <v>323</v>
      </c>
      <c r="X10" t="s">
        <v>20</v>
      </c>
      <c r="Y10" t="s">
        <v>19</v>
      </c>
      <c r="Z10" t="s">
        <v>20</v>
      </c>
      <c r="AA10">
        <v>1.7656499999999999E-2</v>
      </c>
      <c r="AB10" t="s">
        <v>20</v>
      </c>
      <c r="AC10">
        <v>0.453125</v>
      </c>
      <c r="AD10" t="s">
        <v>20</v>
      </c>
      <c r="AE10">
        <v>0.51845909999999995</v>
      </c>
      <c r="AF10" t="s">
        <v>20</v>
      </c>
      <c r="AG10">
        <v>0.1315104</v>
      </c>
      <c r="AJ10" t="str">
        <f>VLOOKUP(Sheet1!W10,'알람 범위'!$D$2:$F$45,3,FALSE)</f>
        <v>10500</v>
      </c>
      <c r="AK10">
        <v>6</v>
      </c>
      <c r="AL10">
        <f t="shared" si="3"/>
        <v>10506</v>
      </c>
      <c r="AM10" t="str">
        <f t="shared" si="1"/>
        <v>MO_IN_SHUTTLE_X1_UNLOAD_MOVE</v>
      </c>
    </row>
    <row r="11" spans="1:39" ht="16.5" customHeight="1" x14ac:dyDescent="0.3">
      <c r="A11">
        <f t="shared" si="2"/>
        <v>10600</v>
      </c>
      <c r="B11" t="s">
        <v>20</v>
      </c>
      <c r="C11" t="s">
        <v>301</v>
      </c>
      <c r="D11" t="s">
        <v>20</v>
      </c>
      <c r="E11" t="s">
        <v>428</v>
      </c>
      <c r="F11" t="s">
        <v>20</v>
      </c>
      <c r="G11" t="s">
        <v>637</v>
      </c>
      <c r="H11" t="s">
        <v>20</v>
      </c>
      <c r="I11" t="s">
        <v>307</v>
      </c>
      <c r="J11" t="s">
        <v>20</v>
      </c>
      <c r="K11" t="s">
        <v>307</v>
      </c>
      <c r="L11" t="s">
        <v>20</v>
      </c>
      <c r="M11" t="s">
        <v>446</v>
      </c>
      <c r="N11" t="s">
        <v>20</v>
      </c>
      <c r="O11" t="s">
        <v>316</v>
      </c>
      <c r="P11" t="s">
        <v>20</v>
      </c>
      <c r="Q11" t="s">
        <v>316</v>
      </c>
      <c r="R11" t="s">
        <v>20</v>
      </c>
      <c r="S11" t="s">
        <v>316</v>
      </c>
      <c r="T11" t="s">
        <v>20</v>
      </c>
      <c r="U11" t="s">
        <v>95</v>
      </c>
      <c r="V11" t="s">
        <v>20</v>
      </c>
      <c r="W11" t="s">
        <v>321</v>
      </c>
      <c r="X11" t="s">
        <v>20</v>
      </c>
      <c r="Y11" t="s">
        <v>19</v>
      </c>
      <c r="Z11" t="s">
        <v>20</v>
      </c>
      <c r="AA11">
        <v>0.12841089999999999</v>
      </c>
      <c r="AB11" t="s">
        <v>20</v>
      </c>
      <c r="AC11">
        <v>0.4505208</v>
      </c>
      <c r="AD11" t="s">
        <v>20</v>
      </c>
      <c r="AE11">
        <v>9.1492779999999996E-2</v>
      </c>
      <c r="AF11" t="s">
        <v>20</v>
      </c>
      <c r="AG11">
        <v>0.1132813</v>
      </c>
      <c r="AJ11" t="str">
        <f>VLOOKUP(Sheet1!W11,'알람 범위'!$D$2:$F$45,3,FALSE)</f>
        <v>10500</v>
      </c>
      <c r="AK11">
        <v>100</v>
      </c>
      <c r="AL11">
        <f t="shared" si="3"/>
        <v>10600</v>
      </c>
      <c r="AM11" t="str">
        <f t="shared" si="1"/>
        <v>VC_IN_SHUTTLE_P1_VACUUM</v>
      </c>
    </row>
    <row r="12" spans="1:39" ht="16.5" customHeight="1" x14ac:dyDescent="0.3">
      <c r="A12">
        <f t="shared" si="2"/>
        <v>10601</v>
      </c>
      <c r="B12" t="s">
        <v>20</v>
      </c>
      <c r="C12" t="s">
        <v>302</v>
      </c>
      <c r="D12" t="s">
        <v>20</v>
      </c>
      <c r="E12" t="s">
        <v>429</v>
      </c>
      <c r="F12" t="s">
        <v>20</v>
      </c>
      <c r="G12" t="s">
        <v>308</v>
      </c>
      <c r="H12" t="s">
        <v>20</v>
      </c>
      <c r="I12" t="s">
        <v>308</v>
      </c>
      <c r="J12" t="s">
        <v>20</v>
      </c>
      <c r="K12" t="s">
        <v>308</v>
      </c>
      <c r="L12" t="s">
        <v>20</v>
      </c>
      <c r="M12" t="s">
        <v>446</v>
      </c>
      <c r="N12" t="s">
        <v>20</v>
      </c>
      <c r="O12" t="s">
        <v>316</v>
      </c>
      <c r="P12" t="s">
        <v>20</v>
      </c>
      <c r="Q12" t="s">
        <v>316</v>
      </c>
      <c r="R12" t="s">
        <v>20</v>
      </c>
      <c r="S12" t="s">
        <v>316</v>
      </c>
      <c r="T12" t="s">
        <v>20</v>
      </c>
      <c r="U12" t="s">
        <v>95</v>
      </c>
      <c r="V12" t="s">
        <v>20</v>
      </c>
      <c r="W12" t="s">
        <v>322</v>
      </c>
      <c r="X12" t="s">
        <v>20</v>
      </c>
      <c r="Y12" t="s">
        <v>19</v>
      </c>
      <c r="Z12" t="s">
        <v>20</v>
      </c>
      <c r="AA12">
        <v>0.12841089999999999</v>
      </c>
      <c r="AB12" t="s">
        <v>20</v>
      </c>
      <c r="AC12">
        <v>0.4505208</v>
      </c>
      <c r="AD12" t="s">
        <v>20</v>
      </c>
      <c r="AE12">
        <v>9.1492779999999996E-2</v>
      </c>
      <c r="AF12" t="s">
        <v>20</v>
      </c>
      <c r="AG12">
        <v>0.1132813</v>
      </c>
      <c r="AJ12" t="str">
        <f>VLOOKUP(Sheet1!W12,'알람 범위'!$D$2:$F$45,3,FALSE)</f>
        <v>10500</v>
      </c>
      <c r="AK12">
        <v>101</v>
      </c>
      <c r="AL12">
        <f t="shared" si="3"/>
        <v>10601</v>
      </c>
      <c r="AM12" t="str">
        <f t="shared" si="1"/>
        <v>VC_IN_SHUTTLE_P1_BLOW</v>
      </c>
    </row>
    <row r="13" spans="1:39" ht="16.5" customHeight="1" x14ac:dyDescent="0.3">
      <c r="A13">
        <f t="shared" si="2"/>
        <v>10602</v>
      </c>
      <c r="B13" t="s">
        <v>20</v>
      </c>
      <c r="C13" t="s">
        <v>303</v>
      </c>
      <c r="D13" t="s">
        <v>20</v>
      </c>
      <c r="E13" t="s">
        <v>430</v>
      </c>
      <c r="F13" t="s">
        <v>20</v>
      </c>
      <c r="G13" t="s">
        <v>309</v>
      </c>
      <c r="H13" t="s">
        <v>20</v>
      </c>
      <c r="I13" t="s">
        <v>309</v>
      </c>
      <c r="J13" t="s">
        <v>20</v>
      </c>
      <c r="K13" t="s">
        <v>309</v>
      </c>
      <c r="L13" t="s">
        <v>20</v>
      </c>
      <c r="M13" t="s">
        <v>446</v>
      </c>
      <c r="N13" t="s">
        <v>20</v>
      </c>
      <c r="O13" t="s">
        <v>316</v>
      </c>
      <c r="P13" t="s">
        <v>20</v>
      </c>
      <c r="Q13" t="s">
        <v>316</v>
      </c>
      <c r="R13" t="s">
        <v>20</v>
      </c>
      <c r="S13" t="s">
        <v>316</v>
      </c>
      <c r="T13" t="s">
        <v>20</v>
      </c>
      <c r="U13" t="s">
        <v>95</v>
      </c>
      <c r="V13" t="s">
        <v>20</v>
      </c>
      <c r="W13" t="s">
        <v>322</v>
      </c>
      <c r="X13" t="s">
        <v>20</v>
      </c>
      <c r="Y13" t="s">
        <v>19</v>
      </c>
      <c r="Z13" t="s">
        <v>20</v>
      </c>
      <c r="AA13">
        <v>0.12841089999999999</v>
      </c>
      <c r="AB13" t="s">
        <v>20</v>
      </c>
      <c r="AC13">
        <v>0.4505208</v>
      </c>
      <c r="AD13" t="s">
        <v>20</v>
      </c>
      <c r="AE13">
        <v>9.1492779999999996E-2</v>
      </c>
      <c r="AF13" t="s">
        <v>20</v>
      </c>
      <c r="AG13">
        <v>0.1132813</v>
      </c>
      <c r="AJ13" t="str">
        <f>VLOOKUP(Sheet1!W13,'알람 범위'!$D$2:$F$45,3,FALSE)</f>
        <v>10500</v>
      </c>
      <c r="AK13">
        <v>102</v>
      </c>
      <c r="AL13">
        <f t="shared" si="3"/>
        <v>10602</v>
      </c>
      <c r="AM13" t="str">
        <f t="shared" si="1"/>
        <v>SE_IN_SHUTTLE_P1_VACUUM_CHECK</v>
      </c>
    </row>
    <row r="14" spans="1:39" ht="16.5" customHeight="1" x14ac:dyDescent="0.3">
      <c r="A14">
        <f t="shared" si="2"/>
        <v>10603</v>
      </c>
      <c r="B14" t="s">
        <v>20</v>
      </c>
      <c r="C14" t="s">
        <v>406</v>
      </c>
      <c r="D14" t="s">
        <v>20</v>
      </c>
      <c r="E14" t="s">
        <v>431</v>
      </c>
      <c r="F14" t="s">
        <v>20</v>
      </c>
      <c r="G14" t="s">
        <v>310</v>
      </c>
      <c r="H14" t="s">
        <v>20</v>
      </c>
      <c r="I14" t="s">
        <v>310</v>
      </c>
      <c r="J14" t="s">
        <v>20</v>
      </c>
      <c r="K14" t="s">
        <v>310</v>
      </c>
      <c r="L14" t="s">
        <v>20</v>
      </c>
      <c r="M14" t="s">
        <v>447</v>
      </c>
      <c r="N14" t="s">
        <v>20</v>
      </c>
      <c r="O14" t="s">
        <v>317</v>
      </c>
      <c r="P14" t="s">
        <v>20</v>
      </c>
      <c r="Q14" t="s">
        <v>317</v>
      </c>
      <c r="R14" t="s">
        <v>20</v>
      </c>
      <c r="S14" t="s">
        <v>317</v>
      </c>
      <c r="T14" t="s">
        <v>20</v>
      </c>
      <c r="U14" t="s">
        <v>95</v>
      </c>
      <c r="V14" t="s">
        <v>20</v>
      </c>
      <c r="W14" t="s">
        <v>322</v>
      </c>
      <c r="X14" t="s">
        <v>20</v>
      </c>
      <c r="Y14" t="s">
        <v>19</v>
      </c>
      <c r="Z14" t="s">
        <v>20</v>
      </c>
      <c r="AA14">
        <v>0.12841089999999999</v>
      </c>
      <c r="AB14" t="s">
        <v>20</v>
      </c>
      <c r="AC14">
        <v>0.4505208</v>
      </c>
      <c r="AD14" t="s">
        <v>20</v>
      </c>
      <c r="AE14">
        <v>9.1492779999999996E-2</v>
      </c>
      <c r="AF14" t="s">
        <v>20</v>
      </c>
      <c r="AG14">
        <v>0.1132813</v>
      </c>
      <c r="AJ14" t="str">
        <f>VLOOKUP(Sheet1!W14,'알람 범위'!$D$2:$F$45,3,FALSE)</f>
        <v>10500</v>
      </c>
      <c r="AK14">
        <v>103</v>
      </c>
      <c r="AL14">
        <f t="shared" si="3"/>
        <v>10603</v>
      </c>
      <c r="AM14" t="str">
        <f t="shared" si="1"/>
        <v>SE_IN_SHUTTLE_P1_SENSOR_CHECK</v>
      </c>
    </row>
    <row r="15" spans="1:39" ht="16.5" customHeight="1" x14ac:dyDescent="0.3">
      <c r="A15">
        <f t="shared" si="2"/>
        <v>10604</v>
      </c>
      <c r="B15" t="s">
        <v>20</v>
      </c>
      <c r="C15" t="s">
        <v>304</v>
      </c>
      <c r="D15" t="s">
        <v>20</v>
      </c>
      <c r="E15" t="s">
        <v>432</v>
      </c>
      <c r="F15" t="s">
        <v>20</v>
      </c>
      <c r="G15" t="s">
        <v>311</v>
      </c>
      <c r="H15" t="s">
        <v>20</v>
      </c>
      <c r="I15" t="s">
        <v>311</v>
      </c>
      <c r="J15" t="s">
        <v>20</v>
      </c>
      <c r="K15" t="s">
        <v>311</v>
      </c>
      <c r="L15" t="s">
        <v>20</v>
      </c>
      <c r="M15" t="s">
        <v>446</v>
      </c>
      <c r="N15" t="s">
        <v>20</v>
      </c>
      <c r="O15" t="s">
        <v>316</v>
      </c>
      <c r="P15" t="s">
        <v>20</v>
      </c>
      <c r="Q15" t="s">
        <v>316</v>
      </c>
      <c r="R15" t="s">
        <v>20</v>
      </c>
      <c r="S15" t="s">
        <v>316</v>
      </c>
      <c r="T15" t="s">
        <v>20</v>
      </c>
      <c r="U15" t="s">
        <v>95</v>
      </c>
      <c r="V15" t="s">
        <v>20</v>
      </c>
      <c r="W15" t="s">
        <v>324</v>
      </c>
      <c r="X15" t="s">
        <v>20</v>
      </c>
      <c r="Y15" t="s">
        <v>19</v>
      </c>
      <c r="Z15" t="s">
        <v>20</v>
      </c>
      <c r="AA15">
        <v>0.12841089999999999</v>
      </c>
      <c r="AB15" t="s">
        <v>20</v>
      </c>
      <c r="AC15">
        <v>0.4505208</v>
      </c>
      <c r="AD15" t="s">
        <v>20</v>
      </c>
      <c r="AE15">
        <v>9.1492779999999996E-2</v>
      </c>
      <c r="AF15" t="s">
        <v>20</v>
      </c>
      <c r="AG15">
        <v>0.1132813</v>
      </c>
      <c r="AJ15" t="str">
        <f>VLOOKUP(Sheet1!W15,'알람 범위'!$D$2:$F$45,3,FALSE)</f>
        <v>10500</v>
      </c>
      <c r="AK15">
        <v>104</v>
      </c>
      <c r="AL15">
        <f t="shared" si="3"/>
        <v>10604</v>
      </c>
      <c r="AM15" t="str">
        <f t="shared" si="1"/>
        <v>SE_IN_SHUTTLE_P1_VACUUM_OVERLAP</v>
      </c>
    </row>
    <row r="16" spans="1:39" ht="16.149999999999999" customHeight="1" x14ac:dyDescent="0.3">
      <c r="A16">
        <f t="shared" si="2"/>
        <v>10605</v>
      </c>
      <c r="B16" t="s">
        <v>20</v>
      </c>
      <c r="C16" t="s">
        <v>305</v>
      </c>
      <c r="D16" t="s">
        <v>20</v>
      </c>
      <c r="E16" t="s">
        <v>433</v>
      </c>
      <c r="F16" t="s">
        <v>20</v>
      </c>
      <c r="G16" t="s">
        <v>312</v>
      </c>
      <c r="H16" t="s">
        <v>20</v>
      </c>
      <c r="I16" t="s">
        <v>312</v>
      </c>
      <c r="J16" t="s">
        <v>20</v>
      </c>
      <c r="K16" t="s">
        <v>312</v>
      </c>
      <c r="L16" t="s">
        <v>20</v>
      </c>
      <c r="M16" t="s">
        <v>447</v>
      </c>
      <c r="N16" t="s">
        <v>20</v>
      </c>
      <c r="O16" t="s">
        <v>317</v>
      </c>
      <c r="P16" t="s">
        <v>20</v>
      </c>
      <c r="Q16" t="s">
        <v>317</v>
      </c>
      <c r="R16" t="s">
        <v>20</v>
      </c>
      <c r="S16" t="s">
        <v>317</v>
      </c>
      <c r="T16" t="s">
        <v>20</v>
      </c>
      <c r="U16" t="s">
        <v>95</v>
      </c>
      <c r="V16" t="s">
        <v>20</v>
      </c>
      <c r="W16" t="s">
        <v>322</v>
      </c>
      <c r="X16" t="s">
        <v>20</v>
      </c>
      <c r="Y16" t="s">
        <v>19</v>
      </c>
      <c r="Z16" t="s">
        <v>20</v>
      </c>
      <c r="AA16">
        <v>0.12841089999999999</v>
      </c>
      <c r="AB16" t="s">
        <v>20</v>
      </c>
      <c r="AC16">
        <v>0.4505208</v>
      </c>
      <c r="AD16" t="s">
        <v>20</v>
      </c>
      <c r="AE16">
        <v>9.1492779999999996E-2</v>
      </c>
      <c r="AF16" t="s">
        <v>20</v>
      </c>
      <c r="AG16">
        <v>0.1132813</v>
      </c>
      <c r="AJ16" t="str">
        <f>VLOOKUP(Sheet1!W16,'알람 범위'!$D$2:$F$45,3,FALSE)</f>
        <v>10500</v>
      </c>
      <c r="AK16">
        <v>105</v>
      </c>
      <c r="AL16">
        <f t="shared" si="3"/>
        <v>10605</v>
      </c>
      <c r="AM16" t="str">
        <f t="shared" si="1"/>
        <v>SE_IN_SHUTTLE_P1_SENSOR_OVERLAP</v>
      </c>
    </row>
    <row r="17" spans="1:39" ht="16.5" customHeight="1" x14ac:dyDescent="0.3">
      <c r="A17">
        <f t="shared" ref="A17:A22" si="6">AL17</f>
        <v>10610</v>
      </c>
      <c r="B17" t="s">
        <v>20</v>
      </c>
      <c r="C17" t="s">
        <v>478</v>
      </c>
      <c r="D17" t="s">
        <v>20</v>
      </c>
      <c r="E17" t="s">
        <v>479</v>
      </c>
      <c r="F17" t="s">
        <v>20</v>
      </c>
      <c r="G17" t="s">
        <v>480</v>
      </c>
      <c r="H17" t="s">
        <v>20</v>
      </c>
      <c r="I17" t="s">
        <v>480</v>
      </c>
      <c r="J17" t="s">
        <v>20</v>
      </c>
      <c r="K17" t="s">
        <v>480</v>
      </c>
      <c r="L17" t="s">
        <v>20</v>
      </c>
      <c r="M17" t="s">
        <v>481</v>
      </c>
      <c r="N17" t="s">
        <v>20</v>
      </c>
      <c r="O17" t="s">
        <v>482</v>
      </c>
      <c r="P17" t="s">
        <v>20</v>
      </c>
      <c r="Q17" t="s">
        <v>482</v>
      </c>
      <c r="R17" t="s">
        <v>20</v>
      </c>
      <c r="S17" t="s">
        <v>482</v>
      </c>
      <c r="T17" t="s">
        <v>20</v>
      </c>
      <c r="U17" t="s">
        <v>95</v>
      </c>
      <c r="V17" t="s">
        <v>20</v>
      </c>
      <c r="W17" t="s">
        <v>297</v>
      </c>
      <c r="X17" t="s">
        <v>20</v>
      </c>
      <c r="Y17" t="s">
        <v>19</v>
      </c>
      <c r="Z17" t="s">
        <v>20</v>
      </c>
      <c r="AA17">
        <v>2.086677E-2</v>
      </c>
      <c r="AB17" t="s">
        <v>20</v>
      </c>
      <c r="AC17">
        <v>0.44661459999999997</v>
      </c>
      <c r="AD17" t="s">
        <v>20</v>
      </c>
      <c r="AE17">
        <v>9.4703049999999997E-2</v>
      </c>
      <c r="AF17" t="s">
        <v>20</v>
      </c>
      <c r="AG17">
        <v>0.1171875</v>
      </c>
      <c r="AJ17" t="str">
        <f>VLOOKUP(Sheet1!W17,'알람 범위'!$D$2:$F$45,3,FALSE)</f>
        <v>10500</v>
      </c>
      <c r="AK17">
        <v>110</v>
      </c>
      <c r="AL17">
        <f t="shared" ref="AL17:AL22" si="7">AJ17+AK17</f>
        <v>10610</v>
      </c>
      <c r="AM17" t="str">
        <f t="shared" si="1"/>
        <v>VC_IN_SHUTTLE_P2_VACUUM</v>
      </c>
    </row>
    <row r="18" spans="1:39" ht="16.5" customHeight="1" x14ac:dyDescent="0.3">
      <c r="A18">
        <f t="shared" si="6"/>
        <v>10611</v>
      </c>
      <c r="B18" t="s">
        <v>20</v>
      </c>
      <c r="C18" t="s">
        <v>483</v>
      </c>
      <c r="D18" t="s">
        <v>20</v>
      </c>
      <c r="E18" t="s">
        <v>484</v>
      </c>
      <c r="F18" t="s">
        <v>20</v>
      </c>
      <c r="G18" t="s">
        <v>485</v>
      </c>
      <c r="H18" t="s">
        <v>20</v>
      </c>
      <c r="I18" t="s">
        <v>485</v>
      </c>
      <c r="J18" t="s">
        <v>20</v>
      </c>
      <c r="K18" t="s">
        <v>485</v>
      </c>
      <c r="L18" t="s">
        <v>20</v>
      </c>
      <c r="M18" t="s">
        <v>481</v>
      </c>
      <c r="N18" t="s">
        <v>20</v>
      </c>
      <c r="O18" t="s">
        <v>482</v>
      </c>
      <c r="P18" t="s">
        <v>20</v>
      </c>
      <c r="Q18" t="s">
        <v>482</v>
      </c>
      <c r="R18" t="s">
        <v>20</v>
      </c>
      <c r="S18" t="s">
        <v>482</v>
      </c>
      <c r="T18" t="s">
        <v>20</v>
      </c>
      <c r="U18" t="s">
        <v>95</v>
      </c>
      <c r="V18" t="s">
        <v>20</v>
      </c>
      <c r="W18" t="s">
        <v>297</v>
      </c>
      <c r="X18" t="s">
        <v>20</v>
      </c>
      <c r="Y18" t="s">
        <v>19</v>
      </c>
      <c r="Z18" t="s">
        <v>20</v>
      </c>
      <c r="AA18">
        <v>2.086677E-2</v>
      </c>
      <c r="AB18" t="s">
        <v>20</v>
      </c>
      <c r="AC18">
        <v>0.44661459999999997</v>
      </c>
      <c r="AD18" t="s">
        <v>20</v>
      </c>
      <c r="AE18">
        <v>9.4703049999999997E-2</v>
      </c>
      <c r="AF18" t="s">
        <v>20</v>
      </c>
      <c r="AG18">
        <v>0.1171875</v>
      </c>
      <c r="AJ18" t="str">
        <f>VLOOKUP(Sheet1!W18,'알람 범위'!$D$2:$F$45,3,FALSE)</f>
        <v>10500</v>
      </c>
      <c r="AK18">
        <v>111</v>
      </c>
      <c r="AL18">
        <f t="shared" si="7"/>
        <v>10611</v>
      </c>
      <c r="AM18" t="str">
        <f t="shared" si="1"/>
        <v>VC_IN_SHUTTLE_P2_BLOW</v>
      </c>
    </row>
    <row r="19" spans="1:39" ht="16.5" customHeight="1" x14ac:dyDescent="0.3">
      <c r="A19">
        <f t="shared" si="6"/>
        <v>10612</v>
      </c>
      <c r="B19" t="s">
        <v>20</v>
      </c>
      <c r="C19" t="s">
        <v>486</v>
      </c>
      <c r="D19" t="s">
        <v>20</v>
      </c>
      <c r="E19" t="s">
        <v>487</v>
      </c>
      <c r="F19" t="s">
        <v>20</v>
      </c>
      <c r="G19" t="s">
        <v>488</v>
      </c>
      <c r="H19" t="s">
        <v>20</v>
      </c>
      <c r="I19" t="s">
        <v>488</v>
      </c>
      <c r="J19" t="s">
        <v>20</v>
      </c>
      <c r="K19" t="s">
        <v>488</v>
      </c>
      <c r="L19" t="s">
        <v>20</v>
      </c>
      <c r="M19" t="s">
        <v>481</v>
      </c>
      <c r="N19" t="s">
        <v>20</v>
      </c>
      <c r="O19" t="s">
        <v>482</v>
      </c>
      <c r="P19" t="s">
        <v>20</v>
      </c>
      <c r="Q19" t="s">
        <v>482</v>
      </c>
      <c r="R19" t="s">
        <v>20</v>
      </c>
      <c r="S19" t="s">
        <v>482</v>
      </c>
      <c r="T19" t="s">
        <v>20</v>
      </c>
      <c r="U19" t="s">
        <v>95</v>
      </c>
      <c r="V19" t="s">
        <v>20</v>
      </c>
      <c r="W19" t="s">
        <v>297</v>
      </c>
      <c r="X19" t="s">
        <v>20</v>
      </c>
      <c r="Y19" t="s">
        <v>19</v>
      </c>
      <c r="Z19" t="s">
        <v>20</v>
      </c>
      <c r="AA19">
        <v>2.086677E-2</v>
      </c>
      <c r="AB19" t="s">
        <v>20</v>
      </c>
      <c r="AC19">
        <v>0.44661459999999997</v>
      </c>
      <c r="AD19" t="s">
        <v>20</v>
      </c>
      <c r="AE19">
        <v>9.4703049999999997E-2</v>
      </c>
      <c r="AF19" t="s">
        <v>20</v>
      </c>
      <c r="AG19">
        <v>0.1171875</v>
      </c>
      <c r="AJ19" t="str">
        <f>VLOOKUP(Sheet1!W19,'알람 범위'!$D$2:$F$45,3,FALSE)</f>
        <v>10500</v>
      </c>
      <c r="AK19">
        <v>112</v>
      </c>
      <c r="AL19">
        <f t="shared" si="7"/>
        <v>10612</v>
      </c>
      <c r="AM19" t="str">
        <f t="shared" si="1"/>
        <v>SE_IN_SHUTTLE_P2_VACUUM_CHECK</v>
      </c>
    </row>
    <row r="20" spans="1:39" ht="16.5" customHeight="1" x14ac:dyDescent="0.3">
      <c r="A20">
        <f t="shared" si="6"/>
        <v>10613</v>
      </c>
      <c r="B20" t="s">
        <v>20</v>
      </c>
      <c r="C20" t="s">
        <v>489</v>
      </c>
      <c r="D20" t="s">
        <v>20</v>
      </c>
      <c r="E20" t="s">
        <v>490</v>
      </c>
      <c r="F20" t="s">
        <v>20</v>
      </c>
      <c r="G20" t="s">
        <v>491</v>
      </c>
      <c r="H20" t="s">
        <v>20</v>
      </c>
      <c r="I20" t="s">
        <v>491</v>
      </c>
      <c r="J20" t="s">
        <v>20</v>
      </c>
      <c r="K20" t="s">
        <v>491</v>
      </c>
      <c r="L20" t="s">
        <v>20</v>
      </c>
      <c r="M20" t="s">
        <v>492</v>
      </c>
      <c r="N20" t="s">
        <v>20</v>
      </c>
      <c r="O20" t="s">
        <v>493</v>
      </c>
      <c r="P20" t="s">
        <v>20</v>
      </c>
      <c r="Q20" t="s">
        <v>493</v>
      </c>
      <c r="R20" t="s">
        <v>20</v>
      </c>
      <c r="S20" t="s">
        <v>493</v>
      </c>
      <c r="T20" t="s">
        <v>20</v>
      </c>
      <c r="U20" t="s">
        <v>95</v>
      </c>
      <c r="V20" t="s">
        <v>20</v>
      </c>
      <c r="W20" t="s">
        <v>297</v>
      </c>
      <c r="X20" t="s">
        <v>20</v>
      </c>
      <c r="Y20" t="s">
        <v>19</v>
      </c>
      <c r="Z20" t="s">
        <v>20</v>
      </c>
      <c r="AA20">
        <v>2.086677E-2</v>
      </c>
      <c r="AB20" t="s">
        <v>20</v>
      </c>
      <c r="AC20">
        <v>0.44661459999999997</v>
      </c>
      <c r="AD20" t="s">
        <v>20</v>
      </c>
      <c r="AE20">
        <v>9.4703049999999997E-2</v>
      </c>
      <c r="AF20" t="s">
        <v>20</v>
      </c>
      <c r="AG20">
        <v>0.1171875</v>
      </c>
      <c r="AJ20" t="str">
        <f>VLOOKUP(Sheet1!W20,'알람 범위'!$D$2:$F$45,3,FALSE)</f>
        <v>10500</v>
      </c>
      <c r="AK20">
        <v>113</v>
      </c>
      <c r="AL20">
        <f t="shared" si="7"/>
        <v>10613</v>
      </c>
      <c r="AM20" t="str">
        <f t="shared" si="1"/>
        <v>SE_IN_SHUTTLE_P2_SENSOR_CHECK</v>
      </c>
    </row>
    <row r="21" spans="1:39" ht="16.5" customHeight="1" x14ac:dyDescent="0.3">
      <c r="A21">
        <f t="shared" si="6"/>
        <v>10614</v>
      </c>
      <c r="B21" t="s">
        <v>20</v>
      </c>
      <c r="C21" t="s">
        <v>494</v>
      </c>
      <c r="D21" t="s">
        <v>20</v>
      </c>
      <c r="E21" t="s">
        <v>495</v>
      </c>
      <c r="F21" t="s">
        <v>20</v>
      </c>
      <c r="G21" t="s">
        <v>496</v>
      </c>
      <c r="H21" t="s">
        <v>20</v>
      </c>
      <c r="I21" t="s">
        <v>496</v>
      </c>
      <c r="J21" t="s">
        <v>20</v>
      </c>
      <c r="K21" t="s">
        <v>496</v>
      </c>
      <c r="L21" t="s">
        <v>20</v>
      </c>
      <c r="M21" t="s">
        <v>481</v>
      </c>
      <c r="N21" t="s">
        <v>20</v>
      </c>
      <c r="O21" t="s">
        <v>482</v>
      </c>
      <c r="P21" t="s">
        <v>20</v>
      </c>
      <c r="Q21" t="s">
        <v>482</v>
      </c>
      <c r="R21" t="s">
        <v>20</v>
      </c>
      <c r="S21" t="s">
        <v>482</v>
      </c>
      <c r="T21" t="s">
        <v>20</v>
      </c>
      <c r="U21" t="s">
        <v>95</v>
      </c>
      <c r="V21" t="s">
        <v>20</v>
      </c>
      <c r="W21" t="s">
        <v>297</v>
      </c>
      <c r="X21" t="s">
        <v>20</v>
      </c>
      <c r="Y21" t="s">
        <v>19</v>
      </c>
      <c r="Z21" t="s">
        <v>20</v>
      </c>
      <c r="AA21">
        <v>2.086677E-2</v>
      </c>
      <c r="AB21" t="s">
        <v>20</v>
      </c>
      <c r="AC21">
        <v>0.44661459999999997</v>
      </c>
      <c r="AD21" t="s">
        <v>20</v>
      </c>
      <c r="AE21">
        <v>9.4703049999999997E-2</v>
      </c>
      <c r="AF21" t="s">
        <v>20</v>
      </c>
      <c r="AG21">
        <v>0.1171875</v>
      </c>
      <c r="AJ21" t="str">
        <f>VLOOKUP(Sheet1!W21,'알람 범위'!$D$2:$F$45,3,FALSE)</f>
        <v>10500</v>
      </c>
      <c r="AK21">
        <v>114</v>
      </c>
      <c r="AL21">
        <f t="shared" si="7"/>
        <v>10614</v>
      </c>
      <c r="AM21" t="str">
        <f t="shared" si="1"/>
        <v>SE_IN_SHUTTLE_P2_VACUUM_OVERLAP</v>
      </c>
    </row>
    <row r="22" spans="1:39" ht="16.149999999999999" customHeight="1" x14ac:dyDescent="0.3">
      <c r="A22">
        <f t="shared" si="6"/>
        <v>10615</v>
      </c>
      <c r="B22" t="s">
        <v>20</v>
      </c>
      <c r="C22" t="s">
        <v>497</v>
      </c>
      <c r="D22" t="s">
        <v>20</v>
      </c>
      <c r="E22" t="s">
        <v>498</v>
      </c>
      <c r="F22" t="s">
        <v>20</v>
      </c>
      <c r="G22" t="s">
        <v>499</v>
      </c>
      <c r="H22" t="s">
        <v>20</v>
      </c>
      <c r="I22" t="s">
        <v>499</v>
      </c>
      <c r="J22" t="s">
        <v>20</v>
      </c>
      <c r="K22" t="s">
        <v>499</v>
      </c>
      <c r="L22" t="s">
        <v>20</v>
      </c>
      <c r="M22" t="s">
        <v>492</v>
      </c>
      <c r="N22" t="s">
        <v>20</v>
      </c>
      <c r="O22" t="s">
        <v>493</v>
      </c>
      <c r="P22" t="s">
        <v>20</v>
      </c>
      <c r="Q22" t="s">
        <v>493</v>
      </c>
      <c r="R22" t="s">
        <v>20</v>
      </c>
      <c r="S22" t="s">
        <v>493</v>
      </c>
      <c r="T22" t="s">
        <v>20</v>
      </c>
      <c r="U22" t="s">
        <v>95</v>
      </c>
      <c r="V22" t="s">
        <v>20</v>
      </c>
      <c r="W22" t="s">
        <v>297</v>
      </c>
      <c r="X22" t="s">
        <v>20</v>
      </c>
      <c r="Y22" t="s">
        <v>19</v>
      </c>
      <c r="Z22" t="s">
        <v>20</v>
      </c>
      <c r="AA22">
        <v>2.086677E-2</v>
      </c>
      <c r="AB22" t="s">
        <v>20</v>
      </c>
      <c r="AC22">
        <v>0.44661459999999997</v>
      </c>
      <c r="AD22" t="s">
        <v>20</v>
      </c>
      <c r="AE22">
        <v>9.4703049999999997E-2</v>
      </c>
      <c r="AF22" t="s">
        <v>20</v>
      </c>
      <c r="AG22">
        <v>0.1171875</v>
      </c>
      <c r="AJ22" t="str">
        <f>VLOOKUP(Sheet1!W22,'알람 범위'!$D$2:$F$45,3,FALSE)</f>
        <v>10500</v>
      </c>
      <c r="AK22">
        <v>115</v>
      </c>
      <c r="AL22">
        <f t="shared" si="7"/>
        <v>10615</v>
      </c>
      <c r="AM22" t="str">
        <f t="shared" si="1"/>
        <v>SE_IN_SHUTTLE_P2_SENSOR_OVERLAP</v>
      </c>
    </row>
    <row r="23" spans="1:39" x14ac:dyDescent="0.3">
      <c r="A23">
        <f t="shared" ref="A23:A55" si="8">AL23</f>
        <v>11000</v>
      </c>
      <c r="B23" t="s">
        <v>20</v>
      </c>
      <c r="C23" t="s">
        <v>152</v>
      </c>
      <c r="D23" t="s">
        <v>20</v>
      </c>
      <c r="E23" t="s">
        <v>153</v>
      </c>
      <c r="F23" t="s">
        <v>20</v>
      </c>
      <c r="G23" t="s">
        <v>154</v>
      </c>
      <c r="H23" t="s">
        <v>20</v>
      </c>
      <c r="I23" t="s">
        <v>154</v>
      </c>
      <c r="J23" t="s">
        <v>20</v>
      </c>
      <c r="K23" t="s">
        <v>154</v>
      </c>
      <c r="L23" t="s">
        <v>20</v>
      </c>
      <c r="M23" t="s">
        <v>155</v>
      </c>
      <c r="N23" t="s">
        <v>20</v>
      </c>
      <c r="O23" t="s">
        <v>160</v>
      </c>
      <c r="P23" t="s">
        <v>20</v>
      </c>
      <c r="Q23" t="s">
        <v>160</v>
      </c>
      <c r="R23" t="s">
        <v>20</v>
      </c>
      <c r="S23" t="s">
        <v>160</v>
      </c>
      <c r="T23" t="s">
        <v>20</v>
      </c>
      <c r="U23" t="s">
        <v>21</v>
      </c>
      <c r="V23" t="s">
        <v>20</v>
      </c>
      <c r="W23" t="s">
        <v>156</v>
      </c>
      <c r="X23" t="s">
        <v>20</v>
      </c>
      <c r="Y23" t="s">
        <v>19</v>
      </c>
      <c r="Z23" t="s">
        <v>20</v>
      </c>
      <c r="AA23">
        <v>0.39646870000000001</v>
      </c>
      <c r="AB23" t="s">
        <v>20</v>
      </c>
      <c r="AC23">
        <v>0.2916667</v>
      </c>
      <c r="AD23" t="s">
        <v>20</v>
      </c>
      <c r="AE23">
        <v>0.2279294</v>
      </c>
      <c r="AF23" t="s">
        <v>20</v>
      </c>
      <c r="AG23">
        <v>0.27213540000000003</v>
      </c>
      <c r="AJ23" t="str">
        <f>VLOOKUP(Sheet1!W23,'알람 범위'!$D$2:$F$45,3,FALSE)</f>
        <v>11000</v>
      </c>
      <c r="AK23">
        <v>0</v>
      </c>
      <c r="AL23">
        <f t="shared" si="0"/>
        <v>11000</v>
      </c>
      <c r="AM23" t="str">
        <f t="shared" si="1"/>
        <v>MO_TRANSFER_ROBOT_IN_N_INITIALIZE</v>
      </c>
    </row>
    <row r="24" spans="1:39" x14ac:dyDescent="0.3">
      <c r="A24">
        <f t="shared" si="8"/>
        <v>11001</v>
      </c>
      <c r="B24" t="s">
        <v>20</v>
      </c>
      <c r="C24" t="s">
        <v>157</v>
      </c>
      <c r="D24" t="s">
        <v>20</v>
      </c>
      <c r="E24" t="s">
        <v>158</v>
      </c>
      <c r="F24" t="s">
        <v>20</v>
      </c>
      <c r="G24" t="s">
        <v>159</v>
      </c>
      <c r="H24" t="s">
        <v>20</v>
      </c>
      <c r="I24" t="s">
        <v>159</v>
      </c>
      <c r="J24" t="s">
        <v>20</v>
      </c>
      <c r="K24" t="s">
        <v>159</v>
      </c>
      <c r="L24" t="s">
        <v>20</v>
      </c>
      <c r="M24" t="s">
        <v>155</v>
      </c>
      <c r="N24" t="s">
        <v>20</v>
      </c>
      <c r="O24" t="s">
        <v>160</v>
      </c>
      <c r="P24" t="s">
        <v>20</v>
      </c>
      <c r="Q24" t="s">
        <v>160</v>
      </c>
      <c r="R24" t="s">
        <v>20</v>
      </c>
      <c r="S24" t="s">
        <v>160</v>
      </c>
      <c r="T24" t="s">
        <v>20</v>
      </c>
      <c r="U24" t="s">
        <v>21</v>
      </c>
      <c r="V24" t="s">
        <v>20</v>
      </c>
      <c r="W24" t="s">
        <v>156</v>
      </c>
      <c r="X24" t="s">
        <v>20</v>
      </c>
      <c r="Y24" t="s">
        <v>19</v>
      </c>
      <c r="Z24" t="s">
        <v>20</v>
      </c>
      <c r="AA24">
        <v>0.39646870000000001</v>
      </c>
      <c r="AB24" t="s">
        <v>20</v>
      </c>
      <c r="AC24">
        <v>0.2916667</v>
      </c>
      <c r="AD24" t="s">
        <v>20</v>
      </c>
      <c r="AE24">
        <v>0.2279294</v>
      </c>
      <c r="AF24" t="s">
        <v>20</v>
      </c>
      <c r="AG24">
        <v>0.27213540000000003</v>
      </c>
      <c r="AJ24" t="str">
        <f>VLOOKUP(Sheet1!W24,'알람 범위'!$D$2:$F$45,3,FALSE)</f>
        <v>11000</v>
      </c>
      <c r="AK24">
        <v>1</v>
      </c>
      <c r="AL24">
        <f t="shared" si="0"/>
        <v>11001</v>
      </c>
      <c r="AM24" t="str">
        <f t="shared" si="1"/>
        <v>MO_TRANSFER_ROBOT_IN_PROCESS_SKIP</v>
      </c>
    </row>
    <row r="25" spans="1:39" x14ac:dyDescent="0.3">
      <c r="A25">
        <f>AL25</f>
        <v>11002</v>
      </c>
      <c r="B25" t="s">
        <v>20</v>
      </c>
      <c r="C25" t="s">
        <v>212</v>
      </c>
      <c r="D25" t="s">
        <v>20</v>
      </c>
      <c r="E25" t="s">
        <v>213</v>
      </c>
      <c r="F25" t="s">
        <v>20</v>
      </c>
      <c r="G25" t="s">
        <v>214</v>
      </c>
      <c r="H25" t="s">
        <v>20</v>
      </c>
      <c r="I25" t="s">
        <v>214</v>
      </c>
      <c r="J25" t="s">
        <v>20</v>
      </c>
      <c r="K25" t="s">
        <v>214</v>
      </c>
      <c r="L25" t="s">
        <v>20</v>
      </c>
      <c r="M25" t="s">
        <v>155</v>
      </c>
      <c r="N25" t="s">
        <v>20</v>
      </c>
      <c r="O25" t="s">
        <v>160</v>
      </c>
      <c r="P25" t="s">
        <v>20</v>
      </c>
      <c r="Q25" t="s">
        <v>160</v>
      </c>
      <c r="R25" t="s">
        <v>20</v>
      </c>
      <c r="S25" t="s">
        <v>160</v>
      </c>
      <c r="T25" t="s">
        <v>20</v>
      </c>
      <c r="U25" t="s">
        <v>21</v>
      </c>
      <c r="V25" t="s">
        <v>20</v>
      </c>
      <c r="W25" t="s">
        <v>182</v>
      </c>
      <c r="X25" t="s">
        <v>20</v>
      </c>
      <c r="Y25" t="s">
        <v>19</v>
      </c>
      <c r="Z25" t="s">
        <v>20</v>
      </c>
      <c r="AA25">
        <v>0.39646870000000001</v>
      </c>
      <c r="AB25" t="s">
        <v>20</v>
      </c>
      <c r="AC25">
        <v>0.2916667</v>
      </c>
      <c r="AD25" t="s">
        <v>20</v>
      </c>
      <c r="AE25">
        <v>0.2279294</v>
      </c>
      <c r="AF25" t="s">
        <v>20</v>
      </c>
      <c r="AG25">
        <v>0.27213540000000003</v>
      </c>
      <c r="AJ25" t="str">
        <f>VLOOKUP(Sheet1!W25,'알람 범위'!$D$2:$F$45,3,FALSE)</f>
        <v>11000</v>
      </c>
      <c r="AK25">
        <v>2</v>
      </c>
      <c r="AL25">
        <f t="shared" si="0"/>
        <v>11002</v>
      </c>
      <c r="AM25" t="str">
        <f t="shared" si="1"/>
        <v>MO_TRANSFER_ROBOT_IN_ENTER_JCM_MODE</v>
      </c>
    </row>
    <row r="26" spans="1:39" x14ac:dyDescent="0.3">
      <c r="A26">
        <f>AL26</f>
        <v>11003</v>
      </c>
      <c r="B26" t="s">
        <v>20</v>
      </c>
      <c r="C26" t="s">
        <v>215</v>
      </c>
      <c r="D26" t="s">
        <v>20</v>
      </c>
      <c r="E26" t="s">
        <v>216</v>
      </c>
      <c r="F26" t="s">
        <v>20</v>
      </c>
      <c r="G26" t="s">
        <v>217</v>
      </c>
      <c r="H26" t="s">
        <v>20</v>
      </c>
      <c r="I26" t="s">
        <v>217</v>
      </c>
      <c r="J26" t="s">
        <v>20</v>
      </c>
      <c r="K26" t="s">
        <v>217</v>
      </c>
      <c r="L26" t="s">
        <v>20</v>
      </c>
      <c r="M26" t="s">
        <v>155</v>
      </c>
      <c r="N26" t="s">
        <v>20</v>
      </c>
      <c r="O26" t="s">
        <v>160</v>
      </c>
      <c r="P26" t="s">
        <v>20</v>
      </c>
      <c r="Q26" t="s">
        <v>160</v>
      </c>
      <c r="R26" t="s">
        <v>20</v>
      </c>
      <c r="S26" t="s">
        <v>160</v>
      </c>
      <c r="T26" t="s">
        <v>20</v>
      </c>
      <c r="U26" t="s">
        <v>21</v>
      </c>
      <c r="V26" t="s">
        <v>20</v>
      </c>
      <c r="W26" t="s">
        <v>182</v>
      </c>
      <c r="X26" t="s">
        <v>20</v>
      </c>
      <c r="Y26" t="s">
        <v>19</v>
      </c>
      <c r="Z26" t="s">
        <v>20</v>
      </c>
      <c r="AA26">
        <v>0.39646870000000001</v>
      </c>
      <c r="AB26" t="s">
        <v>20</v>
      </c>
      <c r="AC26">
        <v>0.2916667</v>
      </c>
      <c r="AD26" t="s">
        <v>20</v>
      </c>
      <c r="AE26">
        <v>0.2279294</v>
      </c>
      <c r="AF26" t="s">
        <v>20</v>
      </c>
      <c r="AG26">
        <v>0.27213540000000003</v>
      </c>
      <c r="AJ26" t="str">
        <f>VLOOKUP(Sheet1!W26,'알람 범위'!$D$2:$F$45,3,FALSE)</f>
        <v>11000</v>
      </c>
      <c r="AK26">
        <v>3</v>
      </c>
      <c r="AL26">
        <f t="shared" si="0"/>
        <v>11003</v>
      </c>
      <c r="AM26" t="str">
        <f t="shared" si="1"/>
        <v>MO_TRANSFER_ROBOT_IN_JCM_MODE_MOVE</v>
      </c>
    </row>
    <row r="27" spans="1:39" x14ac:dyDescent="0.3">
      <c r="A27">
        <f>AL27</f>
        <v>11004</v>
      </c>
      <c r="B27" t="s">
        <v>20</v>
      </c>
      <c r="C27" t="s">
        <v>218</v>
      </c>
      <c r="D27" t="s">
        <v>20</v>
      </c>
      <c r="E27" t="s">
        <v>219</v>
      </c>
      <c r="F27" t="s">
        <v>20</v>
      </c>
      <c r="G27" t="s">
        <v>220</v>
      </c>
      <c r="H27" t="s">
        <v>20</v>
      </c>
      <c r="I27" t="s">
        <v>220</v>
      </c>
      <c r="J27" t="s">
        <v>20</v>
      </c>
      <c r="K27" t="s">
        <v>220</v>
      </c>
      <c r="L27" t="s">
        <v>20</v>
      </c>
      <c r="M27" t="s">
        <v>155</v>
      </c>
      <c r="N27" t="s">
        <v>20</v>
      </c>
      <c r="O27" t="s">
        <v>160</v>
      </c>
      <c r="P27" t="s">
        <v>20</v>
      </c>
      <c r="Q27" t="s">
        <v>160</v>
      </c>
      <c r="R27" t="s">
        <v>20</v>
      </c>
      <c r="S27" t="s">
        <v>160</v>
      </c>
      <c r="T27" t="s">
        <v>20</v>
      </c>
      <c r="U27" t="s">
        <v>21</v>
      </c>
      <c r="V27" t="s">
        <v>20</v>
      </c>
      <c r="W27" t="s">
        <v>182</v>
      </c>
      <c r="X27" t="s">
        <v>20</v>
      </c>
      <c r="Y27" t="s">
        <v>19</v>
      </c>
      <c r="Z27" t="s">
        <v>20</v>
      </c>
      <c r="AA27">
        <v>0.39646870000000001</v>
      </c>
      <c r="AB27" t="s">
        <v>20</v>
      </c>
      <c r="AC27">
        <v>0.2916667</v>
      </c>
      <c r="AD27" t="s">
        <v>20</v>
      </c>
      <c r="AE27">
        <v>0.2279294</v>
      </c>
      <c r="AF27" t="s">
        <v>20</v>
      </c>
      <c r="AG27">
        <v>0.27213540000000003</v>
      </c>
      <c r="AJ27" t="str">
        <f>VLOOKUP(Sheet1!W27,'알람 범위'!$D$2:$F$45,3,FALSE)</f>
        <v>11000</v>
      </c>
      <c r="AK27">
        <v>4</v>
      </c>
      <c r="AL27">
        <f t="shared" si="0"/>
        <v>11004</v>
      </c>
      <c r="AM27" t="str">
        <f t="shared" si="1"/>
        <v>MO_TRANSFER_ROBOT_IN_EXIT_JCM_MODE</v>
      </c>
    </row>
    <row r="28" spans="1:39" x14ac:dyDescent="0.3">
      <c r="A28">
        <f t="shared" si="8"/>
        <v>11005</v>
      </c>
      <c r="B28" t="s">
        <v>20</v>
      </c>
      <c r="C28" t="s">
        <v>415</v>
      </c>
      <c r="D28" t="s">
        <v>20</v>
      </c>
      <c r="E28" t="s">
        <v>418</v>
      </c>
      <c r="F28" t="s">
        <v>20</v>
      </c>
      <c r="G28" t="s">
        <v>630</v>
      </c>
      <c r="H28" t="s">
        <v>20</v>
      </c>
      <c r="I28" t="s">
        <v>630</v>
      </c>
      <c r="J28" t="s">
        <v>20</v>
      </c>
      <c r="K28" t="s">
        <v>630</v>
      </c>
      <c r="L28" t="s">
        <v>20</v>
      </c>
      <c r="M28" t="s">
        <v>155</v>
      </c>
      <c r="N28" t="s">
        <v>20</v>
      </c>
      <c r="O28" t="s">
        <v>160</v>
      </c>
      <c r="P28" t="s">
        <v>20</v>
      </c>
      <c r="Q28" t="s">
        <v>160</v>
      </c>
      <c r="R28" t="s">
        <v>20</v>
      </c>
      <c r="S28" t="s">
        <v>160</v>
      </c>
      <c r="T28" t="s">
        <v>20</v>
      </c>
      <c r="U28" t="s">
        <v>21</v>
      </c>
      <c r="V28" t="s">
        <v>20</v>
      </c>
      <c r="W28" t="s">
        <v>188</v>
      </c>
      <c r="X28" t="s">
        <v>20</v>
      </c>
      <c r="Y28" t="s">
        <v>19</v>
      </c>
      <c r="Z28" t="s">
        <v>20</v>
      </c>
      <c r="AA28">
        <v>0.39646870000000001</v>
      </c>
      <c r="AB28" t="s">
        <v>20</v>
      </c>
      <c r="AC28">
        <v>0.2916667</v>
      </c>
      <c r="AD28" t="s">
        <v>20</v>
      </c>
      <c r="AE28">
        <v>0.2279294</v>
      </c>
      <c r="AF28" t="s">
        <v>20</v>
      </c>
      <c r="AG28">
        <v>0.27213540000000003</v>
      </c>
      <c r="AJ28" t="str">
        <f>VLOOKUP(Sheet1!W28,'알람 범위'!$D$2:$F$45,3,FALSE)</f>
        <v>11000</v>
      </c>
      <c r="AK28">
        <v>5</v>
      </c>
      <c r="AL28">
        <f t="shared" si="0"/>
        <v>11005</v>
      </c>
      <c r="AM28" t="str">
        <f t="shared" si="1"/>
        <v>MO_TRANSFER_ROBOT_IN_LOAD_BEGIN</v>
      </c>
    </row>
    <row r="29" spans="1:39" x14ac:dyDescent="0.3">
      <c r="A29">
        <f t="shared" si="8"/>
        <v>11006</v>
      </c>
      <c r="B29" t="s">
        <v>20</v>
      </c>
      <c r="C29" t="s">
        <v>416</v>
      </c>
      <c r="D29" t="s">
        <v>20</v>
      </c>
      <c r="E29" t="s">
        <v>419</v>
      </c>
      <c r="F29" t="s">
        <v>20</v>
      </c>
      <c r="G29" t="s">
        <v>631</v>
      </c>
      <c r="H29" t="s">
        <v>20</v>
      </c>
      <c r="I29" t="s">
        <v>631</v>
      </c>
      <c r="J29" t="s">
        <v>20</v>
      </c>
      <c r="K29" t="s">
        <v>631</v>
      </c>
      <c r="L29" t="s">
        <v>20</v>
      </c>
      <c r="M29" t="s">
        <v>155</v>
      </c>
      <c r="N29" t="s">
        <v>20</v>
      </c>
      <c r="O29" t="s">
        <v>160</v>
      </c>
      <c r="P29" t="s">
        <v>20</v>
      </c>
      <c r="Q29" t="s">
        <v>160</v>
      </c>
      <c r="R29" t="s">
        <v>20</v>
      </c>
      <c r="S29" t="s">
        <v>160</v>
      </c>
      <c r="T29" t="s">
        <v>20</v>
      </c>
      <c r="U29" t="s">
        <v>21</v>
      </c>
      <c r="V29" t="s">
        <v>20</v>
      </c>
      <c r="W29" t="s">
        <v>188</v>
      </c>
      <c r="X29" t="s">
        <v>20</v>
      </c>
      <c r="Y29" t="s">
        <v>19</v>
      </c>
      <c r="Z29" t="s">
        <v>20</v>
      </c>
      <c r="AA29">
        <v>0.39646870000000001</v>
      </c>
      <c r="AB29" t="s">
        <v>20</v>
      </c>
      <c r="AC29">
        <v>0.2916667</v>
      </c>
      <c r="AD29" t="s">
        <v>20</v>
      </c>
      <c r="AE29">
        <v>0.2279294</v>
      </c>
      <c r="AF29" t="s">
        <v>20</v>
      </c>
      <c r="AG29">
        <v>0.27213540000000003</v>
      </c>
      <c r="AJ29" t="str">
        <f>VLOOKUP(Sheet1!W29,'알람 범위'!$D$2:$F$45,3,FALSE)</f>
        <v>11000</v>
      </c>
      <c r="AK29">
        <v>6</v>
      </c>
      <c r="AL29">
        <f t="shared" si="0"/>
        <v>11006</v>
      </c>
      <c r="AM29" t="str">
        <f t="shared" si="1"/>
        <v>MO_TRANSFER_ROBOT_IN_LOAD_PERMIT</v>
      </c>
    </row>
    <row r="30" spans="1:39" x14ac:dyDescent="0.3">
      <c r="A30">
        <f t="shared" si="8"/>
        <v>11007</v>
      </c>
      <c r="B30" t="s">
        <v>20</v>
      </c>
      <c r="C30" t="s">
        <v>417</v>
      </c>
      <c r="D30" t="s">
        <v>20</v>
      </c>
      <c r="E30" t="s">
        <v>420</v>
      </c>
      <c r="F30" t="s">
        <v>20</v>
      </c>
      <c r="G30" t="s">
        <v>632</v>
      </c>
      <c r="H30" t="s">
        <v>20</v>
      </c>
      <c r="I30" t="s">
        <v>632</v>
      </c>
      <c r="J30" t="s">
        <v>20</v>
      </c>
      <c r="K30" t="s">
        <v>632</v>
      </c>
      <c r="L30" t="s">
        <v>20</v>
      </c>
      <c r="M30" t="s">
        <v>155</v>
      </c>
      <c r="N30" t="s">
        <v>20</v>
      </c>
      <c r="O30" t="s">
        <v>160</v>
      </c>
      <c r="P30" t="s">
        <v>20</v>
      </c>
      <c r="Q30" t="s">
        <v>160</v>
      </c>
      <c r="R30" t="s">
        <v>20</v>
      </c>
      <c r="S30" t="s">
        <v>160</v>
      </c>
      <c r="T30" t="s">
        <v>20</v>
      </c>
      <c r="U30" t="s">
        <v>21</v>
      </c>
      <c r="V30" t="s">
        <v>20</v>
      </c>
      <c r="W30" t="s">
        <v>189</v>
      </c>
      <c r="X30" t="s">
        <v>20</v>
      </c>
      <c r="Y30" t="s">
        <v>19</v>
      </c>
      <c r="Z30" t="s">
        <v>20</v>
      </c>
      <c r="AA30">
        <v>0.39646870000000001</v>
      </c>
      <c r="AB30" t="s">
        <v>20</v>
      </c>
      <c r="AC30">
        <v>0.2916667</v>
      </c>
      <c r="AD30" t="s">
        <v>20</v>
      </c>
      <c r="AE30">
        <v>0.2279294</v>
      </c>
      <c r="AF30" t="s">
        <v>20</v>
      </c>
      <c r="AG30">
        <v>0.27213540000000003</v>
      </c>
      <c r="AJ30" t="str">
        <f>VLOOKUP(Sheet1!W30,'알람 범위'!$D$2:$F$45,3,FALSE)</f>
        <v>11000</v>
      </c>
      <c r="AK30">
        <v>7</v>
      </c>
      <c r="AL30">
        <f t="shared" si="0"/>
        <v>11007</v>
      </c>
      <c r="AM30" t="str">
        <f t="shared" si="1"/>
        <v>MO_TRANSFER_ROBOT_IN_LOAD_EXIT</v>
      </c>
    </row>
    <row r="31" spans="1:39" x14ac:dyDescent="0.3">
      <c r="A31">
        <f>AL31</f>
        <v>11008</v>
      </c>
      <c r="B31" t="s">
        <v>20</v>
      </c>
      <c r="C31" t="s">
        <v>252</v>
      </c>
      <c r="D31" t="s">
        <v>20</v>
      </c>
      <c r="E31" t="s">
        <v>255</v>
      </c>
      <c r="F31" t="s">
        <v>20</v>
      </c>
      <c r="G31" t="s">
        <v>258</v>
      </c>
      <c r="H31" t="s">
        <v>20</v>
      </c>
      <c r="I31" t="s">
        <v>258</v>
      </c>
      <c r="J31" t="s">
        <v>20</v>
      </c>
      <c r="K31" t="s">
        <v>258</v>
      </c>
      <c r="L31" t="s">
        <v>20</v>
      </c>
      <c r="M31" t="s">
        <v>155</v>
      </c>
      <c r="N31" t="s">
        <v>20</v>
      </c>
      <c r="O31" t="s">
        <v>160</v>
      </c>
      <c r="P31" t="s">
        <v>20</v>
      </c>
      <c r="Q31" t="s">
        <v>160</v>
      </c>
      <c r="R31" t="s">
        <v>20</v>
      </c>
      <c r="S31" t="s">
        <v>160</v>
      </c>
      <c r="T31" t="s">
        <v>20</v>
      </c>
      <c r="U31" t="s">
        <v>21</v>
      </c>
      <c r="V31" t="s">
        <v>20</v>
      </c>
      <c r="W31" t="s">
        <v>156</v>
      </c>
      <c r="X31" t="s">
        <v>20</v>
      </c>
      <c r="Y31" t="s">
        <v>19</v>
      </c>
      <c r="Z31" t="s">
        <v>20</v>
      </c>
      <c r="AA31">
        <v>0.39646870000000001</v>
      </c>
      <c r="AB31" t="s">
        <v>20</v>
      </c>
      <c r="AC31">
        <v>0.2916667</v>
      </c>
      <c r="AD31" t="s">
        <v>20</v>
      </c>
      <c r="AE31">
        <v>0.2279294</v>
      </c>
      <c r="AF31" t="s">
        <v>20</v>
      </c>
      <c r="AG31">
        <v>0.27213540000000003</v>
      </c>
      <c r="AJ31" t="str">
        <f>VLOOKUP(Sheet1!W31,'알람 범위'!$D$2:$F$45,3,FALSE)</f>
        <v>11000</v>
      </c>
      <c r="AK31">
        <v>8</v>
      </c>
      <c r="AL31">
        <f t="shared" si="0"/>
        <v>11008</v>
      </c>
      <c r="AM31" t="str">
        <f t="shared" si="1"/>
        <v>MO_TRANSFER_ROBOT_IN_MCR_BEGIN</v>
      </c>
    </row>
    <row r="32" spans="1:39" x14ac:dyDescent="0.3">
      <c r="A32">
        <f>AL32</f>
        <v>11009</v>
      </c>
      <c r="B32" t="s">
        <v>20</v>
      </c>
      <c r="C32" t="s">
        <v>253</v>
      </c>
      <c r="D32" t="s">
        <v>20</v>
      </c>
      <c r="E32" t="s">
        <v>256</v>
      </c>
      <c r="F32" t="s">
        <v>20</v>
      </c>
      <c r="G32" t="s">
        <v>633</v>
      </c>
      <c r="H32" t="s">
        <v>20</v>
      </c>
      <c r="I32" t="s">
        <v>633</v>
      </c>
      <c r="J32" t="s">
        <v>20</v>
      </c>
      <c r="K32" t="s">
        <v>633</v>
      </c>
      <c r="L32" t="s">
        <v>20</v>
      </c>
      <c r="M32" t="s">
        <v>155</v>
      </c>
      <c r="N32" t="s">
        <v>20</v>
      </c>
      <c r="O32" t="s">
        <v>160</v>
      </c>
      <c r="P32" t="s">
        <v>20</v>
      </c>
      <c r="Q32" t="s">
        <v>160</v>
      </c>
      <c r="R32" t="s">
        <v>20</v>
      </c>
      <c r="S32" t="s">
        <v>160</v>
      </c>
      <c r="T32" t="s">
        <v>20</v>
      </c>
      <c r="U32" t="s">
        <v>21</v>
      </c>
      <c r="V32" t="s">
        <v>20</v>
      </c>
      <c r="W32" t="s">
        <v>156</v>
      </c>
      <c r="X32" t="s">
        <v>20</v>
      </c>
      <c r="Y32" t="s">
        <v>19</v>
      </c>
      <c r="Z32" t="s">
        <v>20</v>
      </c>
      <c r="AA32">
        <v>0.39646870000000001</v>
      </c>
      <c r="AB32" t="s">
        <v>20</v>
      </c>
      <c r="AC32">
        <v>0.2916667</v>
      </c>
      <c r="AD32" t="s">
        <v>20</v>
      </c>
      <c r="AE32">
        <v>0.2279294</v>
      </c>
      <c r="AF32" t="s">
        <v>20</v>
      </c>
      <c r="AG32">
        <v>0.27213540000000003</v>
      </c>
      <c r="AJ32" t="str">
        <f>VLOOKUP(Sheet1!W32,'알람 범위'!$D$2:$F$45,3,FALSE)</f>
        <v>11000</v>
      </c>
      <c r="AK32">
        <v>9</v>
      </c>
      <c r="AL32">
        <f t="shared" si="0"/>
        <v>11009</v>
      </c>
      <c r="AM32" t="str">
        <f t="shared" si="1"/>
        <v>MO_TRANSFER_ROBOT_IN_MCR_PERMIT</v>
      </c>
    </row>
    <row r="33" spans="1:39" x14ac:dyDescent="0.3">
      <c r="A33">
        <f>AL33</f>
        <v>11010</v>
      </c>
      <c r="B33" t="s">
        <v>20</v>
      </c>
      <c r="C33" t="s">
        <v>254</v>
      </c>
      <c r="D33" t="s">
        <v>20</v>
      </c>
      <c r="E33" t="s">
        <v>257</v>
      </c>
      <c r="F33" t="s">
        <v>20</v>
      </c>
      <c r="G33" t="s">
        <v>259</v>
      </c>
      <c r="H33" t="s">
        <v>20</v>
      </c>
      <c r="I33" t="s">
        <v>259</v>
      </c>
      <c r="J33" t="s">
        <v>20</v>
      </c>
      <c r="K33" t="s">
        <v>259</v>
      </c>
      <c r="L33" t="s">
        <v>20</v>
      </c>
      <c r="M33" t="s">
        <v>155</v>
      </c>
      <c r="N33" t="s">
        <v>20</v>
      </c>
      <c r="O33" t="s">
        <v>160</v>
      </c>
      <c r="P33" t="s">
        <v>20</v>
      </c>
      <c r="Q33" t="s">
        <v>160</v>
      </c>
      <c r="R33" t="s">
        <v>20</v>
      </c>
      <c r="S33" t="s">
        <v>160</v>
      </c>
      <c r="T33" t="s">
        <v>20</v>
      </c>
      <c r="U33" t="s">
        <v>21</v>
      </c>
      <c r="V33" t="s">
        <v>20</v>
      </c>
      <c r="W33" t="s">
        <v>156</v>
      </c>
      <c r="X33" t="s">
        <v>20</v>
      </c>
      <c r="Y33" t="s">
        <v>19</v>
      </c>
      <c r="Z33" t="s">
        <v>20</v>
      </c>
      <c r="AA33">
        <v>0.39646870000000001</v>
      </c>
      <c r="AB33" t="s">
        <v>20</v>
      </c>
      <c r="AC33">
        <v>0.2916667</v>
      </c>
      <c r="AD33" t="s">
        <v>20</v>
      </c>
      <c r="AE33">
        <v>0.2279294</v>
      </c>
      <c r="AF33" t="s">
        <v>20</v>
      </c>
      <c r="AG33">
        <v>0.27213540000000003</v>
      </c>
      <c r="AJ33" t="str">
        <f>VLOOKUP(Sheet1!W33,'알람 범위'!$D$2:$F$45,3,FALSE)</f>
        <v>11000</v>
      </c>
      <c r="AK33">
        <v>10</v>
      </c>
      <c r="AL33">
        <f t="shared" si="0"/>
        <v>11010</v>
      </c>
      <c r="AM33" t="str">
        <f t="shared" si="1"/>
        <v>MO_TRANSFER_ROBOT_IN_MCR_EXIT</v>
      </c>
    </row>
    <row r="34" spans="1:39" x14ac:dyDescent="0.3">
      <c r="A34">
        <f t="shared" si="8"/>
        <v>11011</v>
      </c>
      <c r="B34" t="s">
        <v>20</v>
      </c>
      <c r="C34" t="s">
        <v>421</v>
      </c>
      <c r="D34" t="s">
        <v>274</v>
      </c>
      <c r="E34" t="s">
        <v>435</v>
      </c>
      <c r="F34" t="s">
        <v>20</v>
      </c>
      <c r="G34" t="s">
        <v>634</v>
      </c>
      <c r="H34" t="s">
        <v>20</v>
      </c>
      <c r="I34" t="s">
        <v>634</v>
      </c>
      <c r="J34" t="s">
        <v>20</v>
      </c>
      <c r="K34" t="s">
        <v>634</v>
      </c>
      <c r="L34" t="s">
        <v>20</v>
      </c>
      <c r="M34" t="s">
        <v>155</v>
      </c>
      <c r="N34" t="s">
        <v>20</v>
      </c>
      <c r="O34" t="s">
        <v>160</v>
      </c>
      <c r="P34" t="s">
        <v>20</v>
      </c>
      <c r="Q34" t="s">
        <v>160</v>
      </c>
      <c r="R34" t="s">
        <v>20</v>
      </c>
      <c r="S34" t="s">
        <v>160</v>
      </c>
      <c r="T34" t="s">
        <v>20</v>
      </c>
      <c r="U34" t="s">
        <v>21</v>
      </c>
      <c r="V34" t="s">
        <v>20</v>
      </c>
      <c r="W34" t="s">
        <v>156</v>
      </c>
      <c r="X34" t="s">
        <v>20</v>
      </c>
      <c r="Y34" t="s">
        <v>19</v>
      </c>
      <c r="Z34" t="s">
        <v>20</v>
      </c>
      <c r="AA34">
        <v>0.39646870000000001</v>
      </c>
      <c r="AB34" t="s">
        <v>20</v>
      </c>
      <c r="AC34">
        <v>0.2916667</v>
      </c>
      <c r="AD34" t="s">
        <v>20</v>
      </c>
      <c r="AE34">
        <v>0.2279294</v>
      </c>
      <c r="AF34" t="s">
        <v>20</v>
      </c>
      <c r="AG34">
        <v>0.27213540000000003</v>
      </c>
      <c r="AJ34" t="str">
        <f>VLOOKUP(Sheet1!W34,'알람 범위'!$D$2:$F$45,3,FALSE)</f>
        <v>11000</v>
      </c>
      <c r="AK34">
        <v>11</v>
      </c>
      <c r="AL34">
        <f t="shared" si="0"/>
        <v>11011</v>
      </c>
      <c r="AM34" t="str">
        <f t="shared" si="1"/>
        <v>MO_TRANSFER_ROBOT_IN_UNLOAD_BEGIN</v>
      </c>
    </row>
    <row r="35" spans="1:39" x14ac:dyDescent="0.3">
      <c r="A35">
        <f t="shared" si="8"/>
        <v>11012</v>
      </c>
      <c r="B35" t="s">
        <v>20</v>
      </c>
      <c r="C35" t="s">
        <v>422</v>
      </c>
      <c r="D35" t="s">
        <v>20</v>
      </c>
      <c r="E35" t="s">
        <v>434</v>
      </c>
      <c r="F35" t="s">
        <v>20</v>
      </c>
      <c r="G35" t="s">
        <v>635</v>
      </c>
      <c r="H35" t="s">
        <v>20</v>
      </c>
      <c r="I35" t="s">
        <v>635</v>
      </c>
      <c r="J35" t="s">
        <v>20</v>
      </c>
      <c r="K35" t="s">
        <v>635</v>
      </c>
      <c r="L35" t="s">
        <v>20</v>
      </c>
      <c r="M35" t="s">
        <v>155</v>
      </c>
      <c r="N35" t="s">
        <v>20</v>
      </c>
      <c r="O35" t="s">
        <v>160</v>
      </c>
      <c r="P35" t="s">
        <v>20</v>
      </c>
      <c r="Q35" t="s">
        <v>160</v>
      </c>
      <c r="R35" t="s">
        <v>20</v>
      </c>
      <c r="S35" t="s">
        <v>160</v>
      </c>
      <c r="T35" t="s">
        <v>20</v>
      </c>
      <c r="U35" t="s">
        <v>21</v>
      </c>
      <c r="V35" t="s">
        <v>20</v>
      </c>
      <c r="W35" t="s">
        <v>156</v>
      </c>
      <c r="X35" t="s">
        <v>20</v>
      </c>
      <c r="Y35" t="s">
        <v>19</v>
      </c>
      <c r="Z35" t="s">
        <v>20</v>
      </c>
      <c r="AA35">
        <v>0.39646870000000001</v>
      </c>
      <c r="AB35" t="s">
        <v>20</v>
      </c>
      <c r="AC35">
        <v>0.2916667</v>
      </c>
      <c r="AD35" t="s">
        <v>20</v>
      </c>
      <c r="AE35">
        <v>0.2279294</v>
      </c>
      <c r="AF35" t="s">
        <v>20</v>
      </c>
      <c r="AG35">
        <v>0.27213540000000003</v>
      </c>
      <c r="AJ35" t="str">
        <f>VLOOKUP(Sheet1!W35,'알람 범위'!$D$2:$F$45,3,FALSE)</f>
        <v>11000</v>
      </c>
      <c r="AK35">
        <v>12</v>
      </c>
      <c r="AL35">
        <f t="shared" si="0"/>
        <v>11012</v>
      </c>
      <c r="AM35" t="str">
        <f t="shared" si="1"/>
        <v>MO_TRANSFER_ROBOT_IN_UNLOAD_PERMIT</v>
      </c>
    </row>
    <row r="36" spans="1:39" x14ac:dyDescent="0.3">
      <c r="A36">
        <f t="shared" si="8"/>
        <v>11013</v>
      </c>
      <c r="B36" t="s">
        <v>20</v>
      </c>
      <c r="C36" t="s">
        <v>423</v>
      </c>
      <c r="D36" t="s">
        <v>20</v>
      </c>
      <c r="E36" t="s">
        <v>424</v>
      </c>
      <c r="F36" t="s">
        <v>20</v>
      </c>
      <c r="G36" t="s">
        <v>636</v>
      </c>
      <c r="H36" t="s">
        <v>20</v>
      </c>
      <c r="I36" t="s">
        <v>636</v>
      </c>
      <c r="J36" t="s">
        <v>20</v>
      </c>
      <c r="K36" t="s">
        <v>636</v>
      </c>
      <c r="L36" t="s">
        <v>20</v>
      </c>
      <c r="M36" t="s">
        <v>155</v>
      </c>
      <c r="N36" t="s">
        <v>20</v>
      </c>
      <c r="O36" t="s">
        <v>160</v>
      </c>
      <c r="P36" t="s">
        <v>20</v>
      </c>
      <c r="Q36" t="s">
        <v>160</v>
      </c>
      <c r="R36" t="s">
        <v>20</v>
      </c>
      <c r="S36" t="s">
        <v>160</v>
      </c>
      <c r="T36" t="s">
        <v>20</v>
      </c>
      <c r="U36" t="s">
        <v>21</v>
      </c>
      <c r="V36" t="s">
        <v>20</v>
      </c>
      <c r="W36" t="s">
        <v>156</v>
      </c>
      <c r="X36" t="s">
        <v>20</v>
      </c>
      <c r="Y36" t="s">
        <v>19</v>
      </c>
      <c r="Z36" t="s">
        <v>20</v>
      </c>
      <c r="AA36">
        <v>0.39646870000000001</v>
      </c>
      <c r="AB36" t="s">
        <v>20</v>
      </c>
      <c r="AC36">
        <v>0.2916667</v>
      </c>
      <c r="AD36" t="s">
        <v>20</v>
      </c>
      <c r="AE36">
        <v>0.2279294</v>
      </c>
      <c r="AF36" t="s">
        <v>20</v>
      </c>
      <c r="AG36">
        <v>0.27213540000000003</v>
      </c>
      <c r="AJ36" t="str">
        <f>VLOOKUP(Sheet1!W36,'알람 범위'!$D$2:$F$45,3,FALSE)</f>
        <v>11000</v>
      </c>
      <c r="AK36">
        <v>13</v>
      </c>
      <c r="AL36">
        <f t="shared" si="0"/>
        <v>11013</v>
      </c>
      <c r="AM36" t="str">
        <f t="shared" si="1"/>
        <v>MO_TRANSFER_ROBOT_IN_UNLOAD_EXIT</v>
      </c>
    </row>
    <row r="37" spans="1:39" x14ac:dyDescent="0.3">
      <c r="A37">
        <f t="shared" si="8"/>
        <v>11100</v>
      </c>
      <c r="B37" t="s">
        <v>20</v>
      </c>
      <c r="C37" t="s">
        <v>796</v>
      </c>
      <c r="D37" t="s">
        <v>20</v>
      </c>
      <c r="E37" t="s">
        <v>800</v>
      </c>
      <c r="F37" t="s">
        <v>20</v>
      </c>
      <c r="G37" t="s">
        <v>804</v>
      </c>
      <c r="H37" t="s">
        <v>20</v>
      </c>
      <c r="I37" t="s">
        <v>804</v>
      </c>
      <c r="J37" t="s">
        <v>20</v>
      </c>
      <c r="K37" t="s">
        <v>804</v>
      </c>
      <c r="L37" t="s">
        <v>20</v>
      </c>
      <c r="M37" t="s">
        <v>808</v>
      </c>
      <c r="N37" t="s">
        <v>20</v>
      </c>
      <c r="O37" t="s">
        <v>811</v>
      </c>
      <c r="P37" t="s">
        <v>20</v>
      </c>
      <c r="Q37" t="s">
        <v>811</v>
      </c>
      <c r="R37" t="s">
        <v>20</v>
      </c>
      <c r="S37" t="s">
        <v>811</v>
      </c>
      <c r="T37" t="s">
        <v>20</v>
      </c>
      <c r="U37" t="s">
        <v>21</v>
      </c>
      <c r="V37" t="s">
        <v>20</v>
      </c>
      <c r="W37" t="s">
        <v>156</v>
      </c>
      <c r="X37" t="s">
        <v>20</v>
      </c>
      <c r="Y37" t="s">
        <v>19</v>
      </c>
      <c r="Z37" t="s">
        <v>20</v>
      </c>
      <c r="AA37">
        <v>0.52006419999999998</v>
      </c>
      <c r="AB37" t="s">
        <v>20</v>
      </c>
      <c r="AC37">
        <v>0.46484379999999997</v>
      </c>
      <c r="AD37" t="s">
        <v>20</v>
      </c>
      <c r="AE37">
        <v>0.10593900000000001</v>
      </c>
      <c r="AF37" t="s">
        <v>20</v>
      </c>
      <c r="AG37">
        <v>9.8958340000000006E-2</v>
      </c>
      <c r="AJ37" t="str">
        <f>VLOOKUP(Sheet1!W37,'알람 범위'!$D$2:$F$45,3,FALSE)</f>
        <v>11000</v>
      </c>
      <c r="AK37">
        <v>100</v>
      </c>
      <c r="AL37">
        <f t="shared" si="0"/>
        <v>11100</v>
      </c>
      <c r="AM37" t="str">
        <f t="shared" si="1"/>
        <v>CY_TRANSFER_ROBOT_IN_P1_T_TURN</v>
      </c>
    </row>
    <row r="38" spans="1:39" x14ac:dyDescent="0.3">
      <c r="A38">
        <f t="shared" si="8"/>
        <v>11101</v>
      </c>
      <c r="B38" t="s">
        <v>20</v>
      </c>
      <c r="C38" t="s">
        <v>797</v>
      </c>
      <c r="D38" t="s">
        <v>20</v>
      </c>
      <c r="E38" t="s">
        <v>801</v>
      </c>
      <c r="F38" t="s">
        <v>20</v>
      </c>
      <c r="G38" t="s">
        <v>805</v>
      </c>
      <c r="H38" t="s">
        <v>20</v>
      </c>
      <c r="I38" t="s">
        <v>805</v>
      </c>
      <c r="J38" t="s">
        <v>20</v>
      </c>
      <c r="K38" t="s">
        <v>805</v>
      </c>
      <c r="L38" t="s">
        <v>20</v>
      </c>
      <c r="M38" t="s">
        <v>808</v>
      </c>
      <c r="N38" t="s">
        <v>20</v>
      </c>
      <c r="O38" t="s">
        <v>811</v>
      </c>
      <c r="P38" t="s">
        <v>20</v>
      </c>
      <c r="Q38" t="s">
        <v>811</v>
      </c>
      <c r="R38" t="s">
        <v>20</v>
      </c>
      <c r="S38" t="s">
        <v>811</v>
      </c>
      <c r="T38" t="s">
        <v>20</v>
      </c>
      <c r="U38" t="s">
        <v>21</v>
      </c>
      <c r="V38" t="s">
        <v>20</v>
      </c>
      <c r="W38" t="s">
        <v>156</v>
      </c>
      <c r="X38" t="s">
        <v>20</v>
      </c>
      <c r="Y38" t="s">
        <v>19</v>
      </c>
      <c r="Z38" t="s">
        <v>20</v>
      </c>
      <c r="AA38">
        <v>0.52006419999999998</v>
      </c>
      <c r="AB38" t="s">
        <v>20</v>
      </c>
      <c r="AC38">
        <v>0.46484379999999997</v>
      </c>
      <c r="AD38" t="s">
        <v>20</v>
      </c>
      <c r="AE38">
        <v>0.10593900000000001</v>
      </c>
      <c r="AF38" t="s">
        <v>20</v>
      </c>
      <c r="AG38">
        <v>9.8958340000000006E-2</v>
      </c>
      <c r="AJ38" t="str">
        <f>VLOOKUP(Sheet1!W38,'알람 범위'!$D$2:$F$45,3,FALSE)</f>
        <v>11000</v>
      </c>
      <c r="AK38">
        <v>101</v>
      </c>
      <c r="AL38">
        <f t="shared" si="0"/>
        <v>11101</v>
      </c>
      <c r="AM38" t="str">
        <f t="shared" si="1"/>
        <v>CY_TRANSFER_ROBOT_IN_P1_T_RETURN</v>
      </c>
    </row>
    <row r="39" spans="1:39" x14ac:dyDescent="0.3">
      <c r="A39">
        <f t="shared" si="8"/>
        <v>11110</v>
      </c>
      <c r="B39" t="s">
        <v>20</v>
      </c>
      <c r="C39" t="s">
        <v>798</v>
      </c>
      <c r="D39" t="s">
        <v>20</v>
      </c>
      <c r="E39" t="s">
        <v>802</v>
      </c>
      <c r="F39" t="s">
        <v>20</v>
      </c>
      <c r="G39" t="s">
        <v>806</v>
      </c>
      <c r="H39" t="s">
        <v>20</v>
      </c>
      <c r="I39" t="s">
        <v>806</v>
      </c>
      <c r="J39" t="s">
        <v>20</v>
      </c>
      <c r="K39" t="s">
        <v>806</v>
      </c>
      <c r="L39" t="s">
        <v>20</v>
      </c>
      <c r="M39" t="s">
        <v>809</v>
      </c>
      <c r="N39" t="s">
        <v>20</v>
      </c>
      <c r="O39" t="s">
        <v>812</v>
      </c>
      <c r="P39" t="s">
        <v>20</v>
      </c>
      <c r="Q39" t="s">
        <v>812</v>
      </c>
      <c r="R39" t="s">
        <v>20</v>
      </c>
      <c r="S39" t="s">
        <v>812</v>
      </c>
      <c r="T39" t="s">
        <v>20</v>
      </c>
      <c r="U39" t="s">
        <v>21</v>
      </c>
      <c r="V39" t="s">
        <v>20</v>
      </c>
      <c r="W39" t="s">
        <v>156</v>
      </c>
      <c r="X39" t="s">
        <v>20</v>
      </c>
      <c r="Y39" t="s">
        <v>19</v>
      </c>
      <c r="Z39" t="s">
        <v>20</v>
      </c>
      <c r="AA39">
        <v>0.40288930000000001</v>
      </c>
      <c r="AB39" t="s">
        <v>20</v>
      </c>
      <c r="AC39">
        <v>0.46223959999999997</v>
      </c>
      <c r="AD39" t="s">
        <v>20</v>
      </c>
      <c r="AE39">
        <v>0.10272870000000001</v>
      </c>
      <c r="AF39" t="s">
        <v>20</v>
      </c>
      <c r="AG39">
        <v>0.1002604</v>
      </c>
      <c r="AJ39" t="str">
        <f>VLOOKUP(Sheet1!W39,'알람 범위'!$D$2:$F$45,3,FALSE)</f>
        <v>11000</v>
      </c>
      <c r="AK39">
        <v>110</v>
      </c>
      <c r="AL39">
        <f t="shared" si="0"/>
        <v>11110</v>
      </c>
      <c r="AM39" t="str">
        <f t="shared" si="1"/>
        <v>CY_TRANSFER_ROBOT_IN_P2_T_TURN</v>
      </c>
    </row>
    <row r="40" spans="1:39" x14ac:dyDescent="0.3">
      <c r="A40">
        <f t="shared" si="8"/>
        <v>11111</v>
      </c>
      <c r="B40" t="s">
        <v>20</v>
      </c>
      <c r="C40" t="s">
        <v>799</v>
      </c>
      <c r="D40" t="s">
        <v>20</v>
      </c>
      <c r="E40" t="s">
        <v>803</v>
      </c>
      <c r="F40" t="s">
        <v>20</v>
      </c>
      <c r="G40" t="s">
        <v>807</v>
      </c>
      <c r="H40" t="s">
        <v>20</v>
      </c>
      <c r="I40" t="s">
        <v>807</v>
      </c>
      <c r="J40" t="s">
        <v>20</v>
      </c>
      <c r="K40" t="s">
        <v>807</v>
      </c>
      <c r="L40" t="s">
        <v>20</v>
      </c>
      <c r="M40" t="s">
        <v>810</v>
      </c>
      <c r="N40" t="s">
        <v>20</v>
      </c>
      <c r="O40" t="s">
        <v>812</v>
      </c>
      <c r="P40" t="s">
        <v>20</v>
      </c>
      <c r="Q40" t="s">
        <v>812</v>
      </c>
      <c r="R40" t="s">
        <v>20</v>
      </c>
      <c r="S40" t="s">
        <v>812</v>
      </c>
      <c r="T40" t="s">
        <v>20</v>
      </c>
      <c r="U40" t="s">
        <v>21</v>
      </c>
      <c r="V40" t="s">
        <v>20</v>
      </c>
      <c r="W40" t="s">
        <v>156</v>
      </c>
      <c r="X40" t="s">
        <v>20</v>
      </c>
      <c r="Y40" t="s">
        <v>19</v>
      </c>
      <c r="Z40" t="s">
        <v>20</v>
      </c>
      <c r="AA40">
        <v>0.40288930000000001</v>
      </c>
      <c r="AB40" t="s">
        <v>20</v>
      </c>
      <c r="AC40">
        <v>0.46223959999999997</v>
      </c>
      <c r="AD40" t="s">
        <v>20</v>
      </c>
      <c r="AE40">
        <v>0.10272870000000001</v>
      </c>
      <c r="AF40" t="s">
        <v>20</v>
      </c>
      <c r="AG40">
        <v>0.1002604</v>
      </c>
      <c r="AJ40" t="str">
        <f>VLOOKUP(Sheet1!W40,'알람 범위'!$D$2:$F$45,3,FALSE)</f>
        <v>11000</v>
      </c>
      <c r="AK40">
        <v>111</v>
      </c>
      <c r="AL40">
        <f t="shared" si="0"/>
        <v>11111</v>
      </c>
      <c r="AM40" t="str">
        <f t="shared" si="1"/>
        <v>CY_TRANSFER_ROBOT_IN_P2_T_RETURN</v>
      </c>
    </row>
    <row r="41" spans="1:39" x14ac:dyDescent="0.3">
      <c r="A41">
        <f t="shared" si="8"/>
        <v>11120</v>
      </c>
      <c r="B41" t="s">
        <v>20</v>
      </c>
      <c r="C41" t="s">
        <v>281</v>
      </c>
      <c r="D41" t="s">
        <v>20</v>
      </c>
      <c r="E41" t="s">
        <v>325</v>
      </c>
      <c r="F41" t="s">
        <v>20</v>
      </c>
      <c r="G41" t="s">
        <v>328</v>
      </c>
      <c r="H41" t="s">
        <v>20</v>
      </c>
      <c r="I41" t="s">
        <v>328</v>
      </c>
      <c r="J41" t="s">
        <v>20</v>
      </c>
      <c r="K41" t="s">
        <v>328</v>
      </c>
      <c r="L41" t="s">
        <v>20</v>
      </c>
      <c r="M41" t="s">
        <v>330</v>
      </c>
      <c r="N41" t="s">
        <v>20</v>
      </c>
      <c r="O41" t="s">
        <v>331</v>
      </c>
      <c r="P41" t="s">
        <v>20</v>
      </c>
      <c r="Q41" t="s">
        <v>331</v>
      </c>
      <c r="R41" t="s">
        <v>20</v>
      </c>
      <c r="S41" t="s">
        <v>331</v>
      </c>
      <c r="T41" t="s">
        <v>20</v>
      </c>
      <c r="U41" t="s">
        <v>21</v>
      </c>
      <c r="V41" t="s">
        <v>20</v>
      </c>
      <c r="W41" t="s">
        <v>156</v>
      </c>
      <c r="X41" t="s">
        <v>20</v>
      </c>
      <c r="Y41" t="s">
        <v>19</v>
      </c>
      <c r="Z41" t="s">
        <v>20</v>
      </c>
      <c r="AA41">
        <v>0.52006419999999998</v>
      </c>
      <c r="AB41" t="s">
        <v>20</v>
      </c>
      <c r="AC41">
        <v>0.46484379999999997</v>
      </c>
      <c r="AD41" t="s">
        <v>20</v>
      </c>
      <c r="AE41">
        <v>0.10593900000000001</v>
      </c>
      <c r="AF41" t="s">
        <v>20</v>
      </c>
      <c r="AG41">
        <v>9.8958340000000006E-2</v>
      </c>
      <c r="AJ41" t="str">
        <f>VLOOKUP(Sheet1!W41,'알람 범위'!$D$2:$F$45,3,FALSE)</f>
        <v>11000</v>
      </c>
      <c r="AK41">
        <v>120</v>
      </c>
      <c r="AL41">
        <f t="shared" si="0"/>
        <v>11120</v>
      </c>
      <c r="AM41" t="str">
        <f t="shared" si="1"/>
        <v>VC_TRANSFER_ROBOT_IN_P1_VACUUM</v>
      </c>
    </row>
    <row r="42" spans="1:39" x14ac:dyDescent="0.3">
      <c r="A42">
        <f t="shared" si="8"/>
        <v>11121</v>
      </c>
      <c r="B42" t="s">
        <v>20</v>
      </c>
      <c r="C42" t="s">
        <v>282</v>
      </c>
      <c r="D42" t="s">
        <v>20</v>
      </c>
      <c r="E42" t="s">
        <v>326</v>
      </c>
      <c r="F42" t="s">
        <v>20</v>
      </c>
      <c r="G42" t="s">
        <v>329</v>
      </c>
      <c r="H42" t="s">
        <v>20</v>
      </c>
      <c r="I42" t="s">
        <v>329</v>
      </c>
      <c r="J42" t="s">
        <v>20</v>
      </c>
      <c r="K42" t="s">
        <v>329</v>
      </c>
      <c r="L42" t="s">
        <v>20</v>
      </c>
      <c r="M42" t="s">
        <v>330</v>
      </c>
      <c r="N42" t="s">
        <v>20</v>
      </c>
      <c r="O42" t="s">
        <v>331</v>
      </c>
      <c r="P42" t="s">
        <v>20</v>
      </c>
      <c r="Q42" t="s">
        <v>331</v>
      </c>
      <c r="R42" t="s">
        <v>20</v>
      </c>
      <c r="S42" t="s">
        <v>331</v>
      </c>
      <c r="T42" t="s">
        <v>20</v>
      </c>
      <c r="U42" t="s">
        <v>21</v>
      </c>
      <c r="V42" t="s">
        <v>20</v>
      </c>
      <c r="W42" t="s">
        <v>156</v>
      </c>
      <c r="X42" t="s">
        <v>20</v>
      </c>
      <c r="Y42" t="s">
        <v>19</v>
      </c>
      <c r="Z42" t="s">
        <v>20</v>
      </c>
      <c r="AA42">
        <v>0.52006419999999998</v>
      </c>
      <c r="AB42" t="s">
        <v>20</v>
      </c>
      <c r="AC42">
        <v>0.46484379999999997</v>
      </c>
      <c r="AD42" t="s">
        <v>20</v>
      </c>
      <c r="AE42">
        <v>0.10593900000000001</v>
      </c>
      <c r="AF42" t="s">
        <v>20</v>
      </c>
      <c r="AG42">
        <v>9.8958340000000006E-2</v>
      </c>
      <c r="AJ42" t="str">
        <f>VLOOKUP(Sheet1!W42,'알람 범위'!$D$2:$F$45,3,FALSE)</f>
        <v>11000</v>
      </c>
      <c r="AK42">
        <v>121</v>
      </c>
      <c r="AL42">
        <f t="shared" si="0"/>
        <v>11121</v>
      </c>
      <c r="AM42" t="str">
        <f t="shared" si="1"/>
        <v>VC_TRANSFER_ROBOT_IN_P1_BLOW</v>
      </c>
    </row>
    <row r="43" spans="1:39" x14ac:dyDescent="0.3">
      <c r="A43">
        <f>AL43</f>
        <v>11122</v>
      </c>
      <c r="B43" t="s">
        <v>20</v>
      </c>
      <c r="C43" t="s">
        <v>221</v>
      </c>
      <c r="D43" t="s">
        <v>20</v>
      </c>
      <c r="E43" t="s">
        <v>222</v>
      </c>
      <c r="F43" t="s">
        <v>20</v>
      </c>
      <c r="G43" t="s">
        <v>223</v>
      </c>
      <c r="H43" t="s">
        <v>20</v>
      </c>
      <c r="I43" t="s">
        <v>223</v>
      </c>
      <c r="J43" t="s">
        <v>20</v>
      </c>
      <c r="K43" t="s">
        <v>223</v>
      </c>
      <c r="L43" t="s">
        <v>20</v>
      </c>
      <c r="M43" t="s">
        <v>232</v>
      </c>
      <c r="N43" t="s">
        <v>20</v>
      </c>
      <c r="O43" t="s">
        <v>233</v>
      </c>
      <c r="P43" t="s">
        <v>20</v>
      </c>
      <c r="Q43" t="s">
        <v>233</v>
      </c>
      <c r="R43" t="s">
        <v>20</v>
      </c>
      <c r="S43" t="s">
        <v>233</v>
      </c>
      <c r="T43" t="s">
        <v>20</v>
      </c>
      <c r="U43" t="s">
        <v>21</v>
      </c>
      <c r="V43" t="s">
        <v>20</v>
      </c>
      <c r="W43" t="s">
        <v>156</v>
      </c>
      <c r="X43" t="s">
        <v>20</v>
      </c>
      <c r="Y43" t="s">
        <v>19</v>
      </c>
      <c r="Z43" t="s">
        <v>20</v>
      </c>
      <c r="AA43">
        <v>0.52006419999999998</v>
      </c>
      <c r="AB43" t="s">
        <v>20</v>
      </c>
      <c r="AC43">
        <v>0.46484379999999997</v>
      </c>
      <c r="AD43" t="s">
        <v>20</v>
      </c>
      <c r="AE43">
        <v>0.10593900000000001</v>
      </c>
      <c r="AF43" t="s">
        <v>20</v>
      </c>
      <c r="AG43">
        <v>9.8958340000000006E-2</v>
      </c>
      <c r="AJ43" t="str">
        <f>VLOOKUP(Sheet1!W43,'알람 범위'!$D$2:$F$45,3,FALSE)</f>
        <v>11000</v>
      </c>
      <c r="AK43">
        <v>122</v>
      </c>
      <c r="AL43">
        <f t="shared" si="0"/>
        <v>11122</v>
      </c>
      <c r="AM43" t="str">
        <f t="shared" si="1"/>
        <v>SE_TRANSFER_ROBOT_IN_P1_VACUUM_CHECK</v>
      </c>
    </row>
    <row r="44" spans="1:39" x14ac:dyDescent="0.3">
      <c r="A44">
        <f>AL44</f>
        <v>11123</v>
      </c>
      <c r="B44" t="s">
        <v>20</v>
      </c>
      <c r="C44" t="s">
        <v>224</v>
      </c>
      <c r="D44" t="s">
        <v>20</v>
      </c>
      <c r="E44" t="s">
        <v>225</v>
      </c>
      <c r="F44" t="s">
        <v>20</v>
      </c>
      <c r="G44" t="s">
        <v>226</v>
      </c>
      <c r="H44" t="s">
        <v>20</v>
      </c>
      <c r="I44" t="s">
        <v>226</v>
      </c>
      <c r="J44" t="s">
        <v>20</v>
      </c>
      <c r="K44" t="s">
        <v>226</v>
      </c>
      <c r="L44" t="s">
        <v>20</v>
      </c>
      <c r="M44" t="s">
        <v>234</v>
      </c>
      <c r="N44" t="s">
        <v>20</v>
      </c>
      <c r="O44" t="s">
        <v>235</v>
      </c>
      <c r="P44" t="s">
        <v>20</v>
      </c>
      <c r="Q44" t="s">
        <v>235</v>
      </c>
      <c r="R44" t="s">
        <v>20</v>
      </c>
      <c r="S44" t="s">
        <v>235</v>
      </c>
      <c r="T44" t="s">
        <v>20</v>
      </c>
      <c r="U44" t="s">
        <v>21</v>
      </c>
      <c r="V44" t="s">
        <v>20</v>
      </c>
      <c r="W44" t="s">
        <v>156</v>
      </c>
      <c r="X44" t="s">
        <v>20</v>
      </c>
      <c r="Y44" t="s">
        <v>19</v>
      </c>
      <c r="Z44" t="s">
        <v>20</v>
      </c>
      <c r="AA44">
        <v>0.52006419999999998</v>
      </c>
      <c r="AB44" t="s">
        <v>20</v>
      </c>
      <c r="AC44">
        <v>0.46484379999999997</v>
      </c>
      <c r="AD44" t="s">
        <v>20</v>
      </c>
      <c r="AE44">
        <v>0.10593900000000001</v>
      </c>
      <c r="AF44" t="s">
        <v>20</v>
      </c>
      <c r="AG44">
        <v>9.8958340000000006E-2</v>
      </c>
      <c r="AJ44" t="str">
        <f>VLOOKUP(Sheet1!W44,'알람 범위'!$D$2:$F$45,3,FALSE)</f>
        <v>11000</v>
      </c>
      <c r="AK44">
        <v>123</v>
      </c>
      <c r="AL44">
        <f t="shared" si="0"/>
        <v>11123</v>
      </c>
      <c r="AM44" t="str">
        <f t="shared" si="1"/>
        <v>SE_TRANSFER_ROBOT_IN_P1_SENSOR_CHECK</v>
      </c>
    </row>
    <row r="45" spans="1:39" x14ac:dyDescent="0.3">
      <c r="A45">
        <f>AL45</f>
        <v>11124</v>
      </c>
      <c r="B45" t="s">
        <v>20</v>
      </c>
      <c r="C45" t="s">
        <v>227</v>
      </c>
      <c r="D45" t="s">
        <v>20</v>
      </c>
      <c r="E45" t="s">
        <v>228</v>
      </c>
      <c r="F45" t="s">
        <v>20</v>
      </c>
      <c r="G45" t="s">
        <v>229</v>
      </c>
      <c r="H45" t="s">
        <v>20</v>
      </c>
      <c r="I45" t="s">
        <v>229</v>
      </c>
      <c r="J45" t="s">
        <v>20</v>
      </c>
      <c r="K45" t="s">
        <v>229</v>
      </c>
      <c r="L45" t="s">
        <v>20</v>
      </c>
      <c r="M45" t="s">
        <v>232</v>
      </c>
      <c r="N45" t="s">
        <v>20</v>
      </c>
      <c r="O45" t="s">
        <v>233</v>
      </c>
      <c r="P45" t="s">
        <v>20</v>
      </c>
      <c r="Q45" t="s">
        <v>233</v>
      </c>
      <c r="R45" t="s">
        <v>20</v>
      </c>
      <c r="S45" t="s">
        <v>233</v>
      </c>
      <c r="T45" t="s">
        <v>20</v>
      </c>
      <c r="U45" t="s">
        <v>21</v>
      </c>
      <c r="V45" t="s">
        <v>20</v>
      </c>
      <c r="W45" t="s">
        <v>156</v>
      </c>
      <c r="X45" t="s">
        <v>20</v>
      </c>
      <c r="Y45" t="s">
        <v>19</v>
      </c>
      <c r="Z45" t="s">
        <v>20</v>
      </c>
      <c r="AA45">
        <v>0.52006419999999998</v>
      </c>
      <c r="AB45" t="s">
        <v>20</v>
      </c>
      <c r="AC45">
        <v>0.46484379999999997</v>
      </c>
      <c r="AD45" t="s">
        <v>20</v>
      </c>
      <c r="AE45">
        <v>0.10593900000000001</v>
      </c>
      <c r="AF45" t="s">
        <v>20</v>
      </c>
      <c r="AG45">
        <v>9.8958340000000006E-2</v>
      </c>
      <c r="AJ45" t="str">
        <f>VLOOKUP(Sheet1!W45,'알람 범위'!$D$2:$F$45,3,FALSE)</f>
        <v>11000</v>
      </c>
      <c r="AK45">
        <v>124</v>
      </c>
      <c r="AL45">
        <f t="shared" si="0"/>
        <v>11124</v>
      </c>
      <c r="AM45" t="str">
        <f t="shared" si="1"/>
        <v>SE_TRANSFER_ROBOT_IN_P1_VACUUM_OVERLAP</v>
      </c>
    </row>
    <row r="46" spans="1:39" x14ac:dyDescent="0.3">
      <c r="A46">
        <f>AL46</f>
        <v>11125</v>
      </c>
      <c r="B46" t="s">
        <v>20</v>
      </c>
      <c r="C46" t="s">
        <v>230</v>
      </c>
      <c r="D46" t="s">
        <v>20</v>
      </c>
      <c r="E46" t="s">
        <v>327</v>
      </c>
      <c r="F46" t="s">
        <v>20</v>
      </c>
      <c r="G46" t="s">
        <v>231</v>
      </c>
      <c r="H46" t="s">
        <v>20</v>
      </c>
      <c r="I46" t="s">
        <v>231</v>
      </c>
      <c r="J46" t="s">
        <v>20</v>
      </c>
      <c r="K46" t="s">
        <v>231</v>
      </c>
      <c r="L46" t="s">
        <v>20</v>
      </c>
      <c r="M46" t="s">
        <v>234</v>
      </c>
      <c r="N46" t="s">
        <v>20</v>
      </c>
      <c r="O46" t="s">
        <v>235</v>
      </c>
      <c r="P46" t="s">
        <v>20</v>
      </c>
      <c r="Q46" t="s">
        <v>235</v>
      </c>
      <c r="R46" t="s">
        <v>20</v>
      </c>
      <c r="S46" t="s">
        <v>235</v>
      </c>
      <c r="T46" t="s">
        <v>20</v>
      </c>
      <c r="U46" t="s">
        <v>21</v>
      </c>
      <c r="V46" t="s">
        <v>20</v>
      </c>
      <c r="W46" t="s">
        <v>156</v>
      </c>
      <c r="X46" t="s">
        <v>20</v>
      </c>
      <c r="Y46" t="s">
        <v>19</v>
      </c>
      <c r="Z46" t="s">
        <v>20</v>
      </c>
      <c r="AA46">
        <v>0.52006419999999998</v>
      </c>
      <c r="AB46" t="s">
        <v>20</v>
      </c>
      <c r="AC46">
        <v>0.46484379999999997</v>
      </c>
      <c r="AD46" t="s">
        <v>20</v>
      </c>
      <c r="AE46">
        <v>0.10593900000000001</v>
      </c>
      <c r="AF46" t="s">
        <v>20</v>
      </c>
      <c r="AG46">
        <v>9.8958340000000006E-2</v>
      </c>
      <c r="AJ46" t="str">
        <f>VLOOKUP(Sheet1!W46,'알람 범위'!$D$2:$F$45,3,FALSE)</f>
        <v>11000</v>
      </c>
      <c r="AK46">
        <v>125</v>
      </c>
      <c r="AL46">
        <f t="shared" si="0"/>
        <v>11125</v>
      </c>
      <c r="AM46" t="str">
        <f t="shared" si="1"/>
        <v>SE_TRANSFER_ROBOT_IN_P1_SENSOR_OVERLAP</v>
      </c>
    </row>
    <row r="47" spans="1:39" x14ac:dyDescent="0.3">
      <c r="A47">
        <f t="shared" ref="A47:A48" si="9">AL47</f>
        <v>11130</v>
      </c>
      <c r="B47" t="s">
        <v>20</v>
      </c>
      <c r="C47" t="s">
        <v>500</v>
      </c>
      <c r="D47" t="s">
        <v>20</v>
      </c>
      <c r="E47" t="s">
        <v>501</v>
      </c>
      <c r="F47" t="s">
        <v>20</v>
      </c>
      <c r="G47" t="s">
        <v>502</v>
      </c>
      <c r="H47" t="s">
        <v>20</v>
      </c>
      <c r="I47" t="s">
        <v>502</v>
      </c>
      <c r="J47" t="s">
        <v>20</v>
      </c>
      <c r="K47" t="s">
        <v>502</v>
      </c>
      <c r="L47" t="s">
        <v>20</v>
      </c>
      <c r="M47" t="s">
        <v>503</v>
      </c>
      <c r="N47" t="s">
        <v>20</v>
      </c>
      <c r="O47" t="s">
        <v>504</v>
      </c>
      <c r="P47" t="s">
        <v>20</v>
      </c>
      <c r="Q47" t="s">
        <v>504</v>
      </c>
      <c r="R47" t="s">
        <v>20</v>
      </c>
      <c r="S47" t="s">
        <v>504</v>
      </c>
      <c r="T47" t="s">
        <v>20</v>
      </c>
      <c r="U47" t="s">
        <v>21</v>
      </c>
      <c r="V47" t="s">
        <v>20</v>
      </c>
      <c r="W47" t="s">
        <v>156</v>
      </c>
      <c r="X47" t="s">
        <v>20</v>
      </c>
      <c r="Y47" t="s">
        <v>19</v>
      </c>
      <c r="Z47" t="s">
        <v>20</v>
      </c>
      <c r="AA47">
        <v>0.40288930000000001</v>
      </c>
      <c r="AB47" t="s">
        <v>20</v>
      </c>
      <c r="AC47">
        <v>0.46223959999999997</v>
      </c>
      <c r="AD47" t="s">
        <v>20</v>
      </c>
      <c r="AE47">
        <v>0.10272870000000001</v>
      </c>
      <c r="AF47" t="s">
        <v>20</v>
      </c>
      <c r="AG47">
        <v>0.1002604</v>
      </c>
      <c r="AJ47" t="str">
        <f>VLOOKUP(Sheet1!W47,'알람 범위'!$D$2:$F$45,3,FALSE)</f>
        <v>11000</v>
      </c>
      <c r="AK47">
        <v>130</v>
      </c>
      <c r="AL47">
        <f t="shared" ref="AL47:AL52" si="10">AJ47+AK47</f>
        <v>11130</v>
      </c>
      <c r="AM47" t="str">
        <f t="shared" si="1"/>
        <v>VC_TRANSFER_ROBOT_IN_P2_VACUUM</v>
      </c>
    </row>
    <row r="48" spans="1:39" x14ac:dyDescent="0.3">
      <c r="A48">
        <f t="shared" si="9"/>
        <v>11131</v>
      </c>
      <c r="B48" t="s">
        <v>20</v>
      </c>
      <c r="C48" t="s">
        <v>505</v>
      </c>
      <c r="D48" t="s">
        <v>20</v>
      </c>
      <c r="E48" t="s">
        <v>506</v>
      </c>
      <c r="F48" t="s">
        <v>20</v>
      </c>
      <c r="G48" t="s">
        <v>507</v>
      </c>
      <c r="H48" t="s">
        <v>20</v>
      </c>
      <c r="I48" t="s">
        <v>507</v>
      </c>
      <c r="J48" t="s">
        <v>20</v>
      </c>
      <c r="K48" t="s">
        <v>507</v>
      </c>
      <c r="L48" t="s">
        <v>20</v>
      </c>
      <c r="M48" t="s">
        <v>503</v>
      </c>
      <c r="N48" t="s">
        <v>20</v>
      </c>
      <c r="O48" t="s">
        <v>504</v>
      </c>
      <c r="P48" t="s">
        <v>20</v>
      </c>
      <c r="Q48" t="s">
        <v>504</v>
      </c>
      <c r="R48" t="s">
        <v>20</v>
      </c>
      <c r="S48" t="s">
        <v>504</v>
      </c>
      <c r="T48" t="s">
        <v>20</v>
      </c>
      <c r="U48" t="s">
        <v>21</v>
      </c>
      <c r="V48" t="s">
        <v>20</v>
      </c>
      <c r="W48" t="s">
        <v>156</v>
      </c>
      <c r="X48" t="s">
        <v>20</v>
      </c>
      <c r="Y48" t="s">
        <v>19</v>
      </c>
      <c r="Z48" t="s">
        <v>20</v>
      </c>
      <c r="AA48">
        <v>0.40288930000000001</v>
      </c>
      <c r="AB48" t="s">
        <v>20</v>
      </c>
      <c r="AC48">
        <v>0.46223959999999997</v>
      </c>
      <c r="AD48" t="s">
        <v>20</v>
      </c>
      <c r="AE48">
        <v>0.10272870000000001</v>
      </c>
      <c r="AF48" t="s">
        <v>20</v>
      </c>
      <c r="AG48">
        <v>0.1002604</v>
      </c>
      <c r="AJ48" t="str">
        <f>VLOOKUP(Sheet1!W48,'알람 범위'!$D$2:$F$45,3,FALSE)</f>
        <v>11000</v>
      </c>
      <c r="AK48">
        <v>131</v>
      </c>
      <c r="AL48">
        <f t="shared" si="10"/>
        <v>11131</v>
      </c>
      <c r="AM48" t="str">
        <f t="shared" si="1"/>
        <v>VC_TRANSFER_ROBOT_IN_P2_BLOW</v>
      </c>
    </row>
    <row r="49" spans="1:39" x14ac:dyDescent="0.3">
      <c r="A49">
        <f>AL49</f>
        <v>11132</v>
      </c>
      <c r="B49" t="s">
        <v>20</v>
      </c>
      <c r="C49" t="s">
        <v>508</v>
      </c>
      <c r="D49" t="s">
        <v>20</v>
      </c>
      <c r="E49" t="s">
        <v>509</v>
      </c>
      <c r="F49" t="s">
        <v>20</v>
      </c>
      <c r="G49" t="s">
        <v>510</v>
      </c>
      <c r="H49" t="s">
        <v>20</v>
      </c>
      <c r="I49" t="s">
        <v>510</v>
      </c>
      <c r="J49" t="s">
        <v>20</v>
      </c>
      <c r="K49" t="s">
        <v>510</v>
      </c>
      <c r="L49" t="s">
        <v>20</v>
      </c>
      <c r="M49" t="s">
        <v>511</v>
      </c>
      <c r="N49" t="s">
        <v>20</v>
      </c>
      <c r="O49" t="s">
        <v>512</v>
      </c>
      <c r="P49" t="s">
        <v>20</v>
      </c>
      <c r="Q49" t="s">
        <v>512</v>
      </c>
      <c r="R49" t="s">
        <v>20</v>
      </c>
      <c r="S49" t="s">
        <v>512</v>
      </c>
      <c r="T49" t="s">
        <v>20</v>
      </c>
      <c r="U49" t="s">
        <v>21</v>
      </c>
      <c r="V49" t="s">
        <v>20</v>
      </c>
      <c r="W49" t="s">
        <v>156</v>
      </c>
      <c r="X49" t="s">
        <v>20</v>
      </c>
      <c r="Y49" t="s">
        <v>19</v>
      </c>
      <c r="Z49" t="s">
        <v>20</v>
      </c>
      <c r="AA49">
        <v>0.40288930000000001</v>
      </c>
      <c r="AB49" t="s">
        <v>20</v>
      </c>
      <c r="AC49">
        <v>0.46223959999999997</v>
      </c>
      <c r="AD49" t="s">
        <v>20</v>
      </c>
      <c r="AE49">
        <v>0.10272870000000001</v>
      </c>
      <c r="AF49" t="s">
        <v>20</v>
      </c>
      <c r="AG49">
        <v>0.1002604</v>
      </c>
      <c r="AJ49" t="str">
        <f>VLOOKUP(Sheet1!W49,'알람 범위'!$D$2:$F$45,3,FALSE)</f>
        <v>11000</v>
      </c>
      <c r="AK49">
        <v>132</v>
      </c>
      <c r="AL49">
        <f t="shared" si="10"/>
        <v>11132</v>
      </c>
      <c r="AM49" t="str">
        <f t="shared" si="1"/>
        <v>SE_TRANSFER_ROBOT_IN_P2_VACUUM_CHECK</v>
      </c>
    </row>
    <row r="50" spans="1:39" x14ac:dyDescent="0.3">
      <c r="A50">
        <f>AL50</f>
        <v>11133</v>
      </c>
      <c r="B50" t="s">
        <v>20</v>
      </c>
      <c r="C50" t="s">
        <v>513</v>
      </c>
      <c r="D50" t="s">
        <v>20</v>
      </c>
      <c r="E50" t="s">
        <v>514</v>
      </c>
      <c r="F50" t="s">
        <v>20</v>
      </c>
      <c r="G50" t="s">
        <v>515</v>
      </c>
      <c r="H50" t="s">
        <v>20</v>
      </c>
      <c r="I50" t="s">
        <v>515</v>
      </c>
      <c r="J50" t="s">
        <v>20</v>
      </c>
      <c r="K50" t="s">
        <v>515</v>
      </c>
      <c r="L50" t="s">
        <v>20</v>
      </c>
      <c r="M50" t="s">
        <v>516</v>
      </c>
      <c r="N50" t="s">
        <v>20</v>
      </c>
      <c r="O50" t="s">
        <v>517</v>
      </c>
      <c r="P50" t="s">
        <v>20</v>
      </c>
      <c r="Q50" t="s">
        <v>517</v>
      </c>
      <c r="R50" t="s">
        <v>20</v>
      </c>
      <c r="S50" t="s">
        <v>517</v>
      </c>
      <c r="T50" t="s">
        <v>20</v>
      </c>
      <c r="U50" t="s">
        <v>21</v>
      </c>
      <c r="V50" t="s">
        <v>20</v>
      </c>
      <c r="W50" t="s">
        <v>156</v>
      </c>
      <c r="X50" t="s">
        <v>20</v>
      </c>
      <c r="Y50" t="s">
        <v>19</v>
      </c>
      <c r="Z50" t="s">
        <v>20</v>
      </c>
      <c r="AA50">
        <v>0.40288930000000001</v>
      </c>
      <c r="AB50" t="s">
        <v>20</v>
      </c>
      <c r="AC50">
        <v>0.46223959999999997</v>
      </c>
      <c r="AD50" t="s">
        <v>20</v>
      </c>
      <c r="AE50">
        <v>0.10272870000000001</v>
      </c>
      <c r="AF50" t="s">
        <v>20</v>
      </c>
      <c r="AG50">
        <v>0.1002604</v>
      </c>
      <c r="AJ50" t="str">
        <f>VLOOKUP(Sheet1!W50,'알람 범위'!$D$2:$F$45,3,FALSE)</f>
        <v>11000</v>
      </c>
      <c r="AK50">
        <v>133</v>
      </c>
      <c r="AL50">
        <f t="shared" si="10"/>
        <v>11133</v>
      </c>
      <c r="AM50" t="str">
        <f t="shared" si="1"/>
        <v>SE_TRANSFER_ROBOT_IN_P2_SENSOR_CHECK</v>
      </c>
    </row>
    <row r="51" spans="1:39" x14ac:dyDescent="0.3">
      <c r="A51">
        <f>AL51</f>
        <v>11134</v>
      </c>
      <c r="B51" t="s">
        <v>20</v>
      </c>
      <c r="C51" t="s">
        <v>518</v>
      </c>
      <c r="D51" t="s">
        <v>20</v>
      </c>
      <c r="E51" t="s">
        <v>519</v>
      </c>
      <c r="F51" t="s">
        <v>20</v>
      </c>
      <c r="G51" t="s">
        <v>520</v>
      </c>
      <c r="H51" t="s">
        <v>20</v>
      </c>
      <c r="I51" t="s">
        <v>520</v>
      </c>
      <c r="J51" t="s">
        <v>20</v>
      </c>
      <c r="K51" t="s">
        <v>520</v>
      </c>
      <c r="L51" t="s">
        <v>20</v>
      </c>
      <c r="M51" t="s">
        <v>511</v>
      </c>
      <c r="N51" t="s">
        <v>20</v>
      </c>
      <c r="O51" t="s">
        <v>512</v>
      </c>
      <c r="P51" t="s">
        <v>20</v>
      </c>
      <c r="Q51" t="s">
        <v>512</v>
      </c>
      <c r="R51" t="s">
        <v>20</v>
      </c>
      <c r="S51" t="s">
        <v>512</v>
      </c>
      <c r="T51" t="s">
        <v>20</v>
      </c>
      <c r="U51" t="s">
        <v>21</v>
      </c>
      <c r="V51" t="s">
        <v>20</v>
      </c>
      <c r="W51" t="s">
        <v>156</v>
      </c>
      <c r="X51" t="s">
        <v>20</v>
      </c>
      <c r="Y51" t="s">
        <v>19</v>
      </c>
      <c r="Z51" t="s">
        <v>20</v>
      </c>
      <c r="AA51">
        <v>0.40288930000000001</v>
      </c>
      <c r="AB51" t="s">
        <v>20</v>
      </c>
      <c r="AC51">
        <v>0.46223959999999997</v>
      </c>
      <c r="AD51" t="s">
        <v>20</v>
      </c>
      <c r="AE51">
        <v>0.10272870000000001</v>
      </c>
      <c r="AF51" t="s">
        <v>20</v>
      </c>
      <c r="AG51">
        <v>0.1002604</v>
      </c>
      <c r="AJ51" t="str">
        <f>VLOOKUP(Sheet1!W51,'알람 범위'!$D$2:$F$45,3,FALSE)</f>
        <v>11000</v>
      </c>
      <c r="AK51">
        <v>134</v>
      </c>
      <c r="AL51">
        <f t="shared" si="10"/>
        <v>11134</v>
      </c>
      <c r="AM51" t="str">
        <f t="shared" si="1"/>
        <v>SE_TRANSFER_ROBOT_IN_P2_VACUUM_OVERLAP</v>
      </c>
    </row>
    <row r="52" spans="1:39" x14ac:dyDescent="0.3">
      <c r="A52">
        <f>AL52</f>
        <v>11135</v>
      </c>
      <c r="B52" t="s">
        <v>20</v>
      </c>
      <c r="C52" t="s">
        <v>521</v>
      </c>
      <c r="D52" t="s">
        <v>20</v>
      </c>
      <c r="E52" t="s">
        <v>522</v>
      </c>
      <c r="F52" t="s">
        <v>20</v>
      </c>
      <c r="G52" t="s">
        <v>523</v>
      </c>
      <c r="H52" t="s">
        <v>20</v>
      </c>
      <c r="I52" t="s">
        <v>523</v>
      </c>
      <c r="J52" t="s">
        <v>20</v>
      </c>
      <c r="K52" t="s">
        <v>523</v>
      </c>
      <c r="L52" t="s">
        <v>20</v>
      </c>
      <c r="M52" t="s">
        <v>516</v>
      </c>
      <c r="N52" t="s">
        <v>20</v>
      </c>
      <c r="O52" t="s">
        <v>517</v>
      </c>
      <c r="P52" t="s">
        <v>20</v>
      </c>
      <c r="Q52" t="s">
        <v>517</v>
      </c>
      <c r="R52" t="s">
        <v>20</v>
      </c>
      <c r="S52" t="s">
        <v>517</v>
      </c>
      <c r="T52" t="s">
        <v>20</v>
      </c>
      <c r="U52" t="s">
        <v>21</v>
      </c>
      <c r="V52" t="s">
        <v>20</v>
      </c>
      <c r="W52" t="s">
        <v>156</v>
      </c>
      <c r="X52" t="s">
        <v>20</v>
      </c>
      <c r="Y52" t="s">
        <v>19</v>
      </c>
      <c r="Z52" t="s">
        <v>20</v>
      </c>
      <c r="AA52">
        <v>0.40288930000000001</v>
      </c>
      <c r="AB52" t="s">
        <v>20</v>
      </c>
      <c r="AC52">
        <v>0.46223959999999997</v>
      </c>
      <c r="AD52" t="s">
        <v>20</v>
      </c>
      <c r="AE52">
        <v>0.10272870000000001</v>
      </c>
      <c r="AF52" t="s">
        <v>20</v>
      </c>
      <c r="AG52">
        <v>0.1002604</v>
      </c>
      <c r="AJ52" t="str">
        <f>VLOOKUP(Sheet1!W52,'알람 범위'!$D$2:$F$45,3,FALSE)</f>
        <v>11000</v>
      </c>
      <c r="AK52">
        <v>135</v>
      </c>
      <c r="AL52">
        <f t="shared" si="10"/>
        <v>11135</v>
      </c>
      <c r="AM52" t="str">
        <f t="shared" si="1"/>
        <v>SE_TRANSFER_ROBOT_IN_P2_SENSOR_OVERLAP</v>
      </c>
    </row>
    <row r="53" spans="1:39" x14ac:dyDescent="0.3">
      <c r="A53">
        <f t="shared" si="8"/>
        <v>11400</v>
      </c>
      <c r="B53" t="s">
        <v>20</v>
      </c>
      <c r="C53" t="s">
        <v>161</v>
      </c>
      <c r="D53" t="s">
        <v>20</v>
      </c>
      <c r="E53" t="s">
        <v>162</v>
      </c>
      <c r="F53" t="s">
        <v>20</v>
      </c>
      <c r="G53" t="s">
        <v>163</v>
      </c>
      <c r="H53" t="s">
        <v>20</v>
      </c>
      <c r="I53" t="s">
        <v>163</v>
      </c>
      <c r="J53" t="s">
        <v>20</v>
      </c>
      <c r="K53" t="s">
        <v>163</v>
      </c>
      <c r="L53" t="s">
        <v>20</v>
      </c>
      <c r="M53" t="s">
        <v>155</v>
      </c>
      <c r="N53" t="s">
        <v>20</v>
      </c>
      <c r="O53" t="s">
        <v>160</v>
      </c>
      <c r="P53" t="s">
        <v>20</v>
      </c>
      <c r="Q53" t="s">
        <v>160</v>
      </c>
      <c r="R53" t="s">
        <v>20</v>
      </c>
      <c r="S53" t="s">
        <v>160</v>
      </c>
      <c r="T53" t="s">
        <v>20</v>
      </c>
      <c r="U53" t="s">
        <v>21</v>
      </c>
      <c r="V53" t="s">
        <v>20</v>
      </c>
      <c r="W53" t="s">
        <v>156</v>
      </c>
      <c r="X53" t="s">
        <v>20</v>
      </c>
      <c r="Y53" t="s">
        <v>19</v>
      </c>
      <c r="Z53" t="s">
        <v>20</v>
      </c>
      <c r="AA53">
        <v>0.39646870000000001</v>
      </c>
      <c r="AB53" t="s">
        <v>20</v>
      </c>
      <c r="AC53">
        <v>0.2916667</v>
      </c>
      <c r="AD53" t="s">
        <v>20</v>
      </c>
      <c r="AE53">
        <v>0.2279294</v>
      </c>
      <c r="AF53" t="s">
        <v>20</v>
      </c>
      <c r="AG53">
        <v>0.27213540000000003</v>
      </c>
      <c r="AJ53" t="str">
        <f>VLOOKUP(Sheet1!W53,'알람 범위'!$D$2:$F$45,3,FALSE)</f>
        <v>11000</v>
      </c>
      <c r="AK53">
        <v>400</v>
      </c>
      <c r="AL53">
        <f t="shared" si="0"/>
        <v>11400</v>
      </c>
      <c r="AM53" t="str">
        <f t="shared" si="1"/>
        <v>CO_TRANSFER_ROBOT_IN_ALIGN_DATA</v>
      </c>
    </row>
    <row r="54" spans="1:39" x14ac:dyDescent="0.3">
      <c r="A54">
        <f t="shared" si="8"/>
        <v>11401</v>
      </c>
      <c r="B54" t="s">
        <v>20</v>
      </c>
      <c r="C54" t="s">
        <v>164</v>
      </c>
      <c r="D54" t="s">
        <v>20</v>
      </c>
      <c r="E54" t="s">
        <v>165</v>
      </c>
      <c r="F54" t="s">
        <v>20</v>
      </c>
      <c r="G54" t="s">
        <v>166</v>
      </c>
      <c r="H54" t="s">
        <v>20</v>
      </c>
      <c r="I54" t="s">
        <v>166</v>
      </c>
      <c r="J54" t="s">
        <v>20</v>
      </c>
      <c r="K54" t="s">
        <v>166</v>
      </c>
      <c r="L54" t="s">
        <v>20</v>
      </c>
      <c r="M54" t="s">
        <v>155</v>
      </c>
      <c r="N54" t="s">
        <v>20</v>
      </c>
      <c r="O54" t="s">
        <v>160</v>
      </c>
      <c r="P54" t="s">
        <v>20</v>
      </c>
      <c r="Q54" t="s">
        <v>160</v>
      </c>
      <c r="R54" t="s">
        <v>20</v>
      </c>
      <c r="S54" t="s">
        <v>160</v>
      </c>
      <c r="T54" t="s">
        <v>20</v>
      </c>
      <c r="U54" t="s">
        <v>21</v>
      </c>
      <c r="V54" t="s">
        <v>20</v>
      </c>
      <c r="W54" t="s">
        <v>156</v>
      </c>
      <c r="X54" t="s">
        <v>20</v>
      </c>
      <c r="Y54" t="s">
        <v>19</v>
      </c>
      <c r="Z54" t="s">
        <v>20</v>
      </c>
      <c r="AA54">
        <v>0.39646870000000001</v>
      </c>
      <c r="AB54" t="s">
        <v>20</v>
      </c>
      <c r="AC54">
        <v>0.2916667</v>
      </c>
      <c r="AD54" t="s">
        <v>20</v>
      </c>
      <c r="AE54">
        <v>0.2279294</v>
      </c>
      <c r="AF54" t="s">
        <v>20</v>
      </c>
      <c r="AG54">
        <v>0.27213540000000003</v>
      </c>
      <c r="AJ54" t="str">
        <f>VLOOKUP(Sheet1!W54,'알람 범위'!$D$2:$F$45,3,FALSE)</f>
        <v>11000</v>
      </c>
      <c r="AK54">
        <v>401</v>
      </c>
      <c r="AL54">
        <f t="shared" si="0"/>
        <v>11401</v>
      </c>
      <c r="AM54" t="str">
        <f t="shared" si="1"/>
        <v>CO_TRANSFER_ROBOT_IN_RESET_DATA</v>
      </c>
    </row>
    <row r="55" spans="1:39" x14ac:dyDescent="0.3">
      <c r="A55">
        <f t="shared" si="8"/>
        <v>11402</v>
      </c>
      <c r="B55" t="s">
        <v>20</v>
      </c>
      <c r="C55" t="s">
        <v>167</v>
      </c>
      <c r="D55" t="s">
        <v>20</v>
      </c>
      <c r="E55" t="s">
        <v>168</v>
      </c>
      <c r="F55" t="s">
        <v>20</v>
      </c>
      <c r="G55" t="s">
        <v>169</v>
      </c>
      <c r="H55" t="s">
        <v>20</v>
      </c>
      <c r="I55" t="s">
        <v>169</v>
      </c>
      <c r="J55" t="s">
        <v>20</v>
      </c>
      <c r="K55" t="s">
        <v>169</v>
      </c>
      <c r="L55" t="s">
        <v>20</v>
      </c>
      <c r="M55" t="s">
        <v>155</v>
      </c>
      <c r="N55" t="s">
        <v>20</v>
      </c>
      <c r="O55" t="s">
        <v>160</v>
      </c>
      <c r="P55" t="s">
        <v>20</v>
      </c>
      <c r="Q55" t="s">
        <v>160</v>
      </c>
      <c r="R55" t="s">
        <v>20</v>
      </c>
      <c r="S55" t="s">
        <v>160</v>
      </c>
      <c r="T55" t="s">
        <v>20</v>
      </c>
      <c r="U55" t="s">
        <v>21</v>
      </c>
      <c r="V55" t="s">
        <v>20</v>
      </c>
      <c r="W55" t="s">
        <v>156</v>
      </c>
      <c r="X55" t="s">
        <v>20</v>
      </c>
      <c r="Y55" t="s">
        <v>19</v>
      </c>
      <c r="Z55" t="s">
        <v>20</v>
      </c>
      <c r="AA55">
        <v>0.39646870000000001</v>
      </c>
      <c r="AB55" t="s">
        <v>20</v>
      </c>
      <c r="AC55">
        <v>0.2916667</v>
      </c>
      <c r="AD55" t="s">
        <v>20</v>
      </c>
      <c r="AE55">
        <v>0.2279294</v>
      </c>
      <c r="AF55" t="s">
        <v>20</v>
      </c>
      <c r="AG55">
        <v>0.27213540000000003</v>
      </c>
      <c r="AJ55" t="str">
        <f>VLOOKUP(Sheet1!W55,'알람 범위'!$D$2:$F$45,3,FALSE)</f>
        <v>11000</v>
      </c>
      <c r="AK55">
        <v>402</v>
      </c>
      <c r="AL55">
        <f t="shared" si="0"/>
        <v>11402</v>
      </c>
      <c r="AM55" t="str">
        <f t="shared" si="1"/>
        <v>CO_TRANSFER_ROBOT_IN_CALIBRATION_DATA</v>
      </c>
    </row>
    <row r="56" spans="1:39" x14ac:dyDescent="0.3">
      <c r="A56">
        <f t="shared" ref="A56:A66" si="11">AL56</f>
        <v>11500</v>
      </c>
      <c r="B56" t="s">
        <v>20</v>
      </c>
      <c r="C56" t="s">
        <v>813</v>
      </c>
      <c r="D56" t="s">
        <v>20</v>
      </c>
      <c r="E56" t="s">
        <v>815</v>
      </c>
      <c r="F56" t="s">
        <v>20</v>
      </c>
      <c r="G56" t="s">
        <v>822</v>
      </c>
      <c r="H56" t="s">
        <v>20</v>
      </c>
      <c r="I56" t="s">
        <v>822</v>
      </c>
      <c r="J56" t="s">
        <v>20</v>
      </c>
      <c r="K56" s="19" t="s">
        <v>827</v>
      </c>
      <c r="L56" t="s">
        <v>20</v>
      </c>
      <c r="M56" t="s">
        <v>832</v>
      </c>
      <c r="N56" t="s">
        <v>20</v>
      </c>
      <c r="O56" t="s">
        <v>834</v>
      </c>
      <c r="P56" t="s">
        <v>20</v>
      </c>
      <c r="Q56" t="s">
        <v>834</v>
      </c>
      <c r="R56" t="s">
        <v>20</v>
      </c>
      <c r="S56" s="19" t="s">
        <v>836</v>
      </c>
      <c r="T56" t="s">
        <v>20</v>
      </c>
      <c r="U56" t="s">
        <v>95</v>
      </c>
      <c r="V56" t="s">
        <v>20</v>
      </c>
      <c r="W56" t="s">
        <v>468</v>
      </c>
      <c r="X56" t="s">
        <v>20</v>
      </c>
      <c r="Y56" t="s">
        <v>19</v>
      </c>
      <c r="Z56" t="s">
        <v>20</v>
      </c>
      <c r="AA56" s="21">
        <v>0.60834670000000002</v>
      </c>
      <c r="AB56" t="s">
        <v>20</v>
      </c>
      <c r="AC56" s="21">
        <v>0.39973959999999997</v>
      </c>
      <c r="AD56" t="s">
        <v>20</v>
      </c>
      <c r="AE56" s="21">
        <v>0.10112359999999999</v>
      </c>
      <c r="AF56" t="s">
        <v>20</v>
      </c>
      <c r="AG56" s="21">
        <v>0.515625</v>
      </c>
      <c r="AJ56" t="str">
        <f>VLOOKUP(Sheet1!W56,'알람 범위'!$D$2:$F$45,3,FALSE)</f>
        <v>11500</v>
      </c>
      <c r="AK56">
        <v>0</v>
      </c>
      <c r="AL56">
        <f t="shared" si="0"/>
        <v>11500</v>
      </c>
      <c r="AM56" t="str">
        <f t="shared" si="1"/>
        <v>MO_INSP_STAGE_Y_HOME_MOTION</v>
      </c>
    </row>
    <row r="57" spans="1:39" x14ac:dyDescent="0.3">
      <c r="A57">
        <f t="shared" si="11"/>
        <v>11501</v>
      </c>
      <c r="B57" t="s">
        <v>20</v>
      </c>
      <c r="C57" t="s">
        <v>814</v>
      </c>
      <c r="D57" t="s">
        <v>20</v>
      </c>
      <c r="E57" t="s">
        <v>816</v>
      </c>
      <c r="F57" t="s">
        <v>20</v>
      </c>
      <c r="G57" t="s">
        <v>823</v>
      </c>
      <c r="H57" t="s">
        <v>20</v>
      </c>
      <c r="I57" t="s">
        <v>823</v>
      </c>
      <c r="J57" t="s">
        <v>20</v>
      </c>
      <c r="K57" s="19" t="s">
        <v>828</v>
      </c>
      <c r="L57" t="s">
        <v>20</v>
      </c>
      <c r="M57" t="s">
        <v>833</v>
      </c>
      <c r="N57" t="s">
        <v>20</v>
      </c>
      <c r="O57" t="s">
        <v>835</v>
      </c>
      <c r="P57" t="s">
        <v>20</v>
      </c>
      <c r="Q57" t="s">
        <v>835</v>
      </c>
      <c r="R57" t="s">
        <v>20</v>
      </c>
      <c r="S57" s="19" t="s">
        <v>837</v>
      </c>
      <c r="T57" t="s">
        <v>20</v>
      </c>
      <c r="U57" t="s">
        <v>21</v>
      </c>
      <c r="V57" t="s">
        <v>20</v>
      </c>
      <c r="W57" t="s">
        <v>468</v>
      </c>
      <c r="X57" t="s">
        <v>20</v>
      </c>
      <c r="Y57" t="s">
        <v>19</v>
      </c>
      <c r="Z57" t="s">
        <v>20</v>
      </c>
      <c r="AA57" s="21">
        <v>0.60834670000000002</v>
      </c>
      <c r="AB57" t="s">
        <v>20</v>
      </c>
      <c r="AC57" s="21">
        <v>0.39973959999999997</v>
      </c>
      <c r="AD57" t="s">
        <v>20</v>
      </c>
      <c r="AE57" s="21">
        <v>0.10112359999999999</v>
      </c>
      <c r="AF57" t="s">
        <v>20</v>
      </c>
      <c r="AG57" s="21">
        <v>0.515625</v>
      </c>
      <c r="AJ57" t="str">
        <f>VLOOKUP(Sheet1!W57,'알람 범위'!$D$2:$F$45,3,FALSE)</f>
        <v>11500</v>
      </c>
      <c r="AK57">
        <v>1</v>
      </c>
      <c r="AL57">
        <f t="shared" si="0"/>
        <v>11501</v>
      </c>
      <c r="AM57" t="str">
        <f t="shared" si="1"/>
        <v>MO_INSP_STAGE_Y_LOAD_MOVE</v>
      </c>
    </row>
    <row r="58" spans="1:39" x14ac:dyDescent="0.3">
      <c r="A58">
        <f t="shared" si="11"/>
        <v>11502</v>
      </c>
      <c r="B58" t="s">
        <v>20</v>
      </c>
      <c r="C58" t="s">
        <v>820</v>
      </c>
      <c r="D58" t="s">
        <v>20</v>
      </c>
      <c r="E58" t="s">
        <v>818</v>
      </c>
      <c r="F58" t="s">
        <v>20</v>
      </c>
      <c r="G58" t="s">
        <v>824</v>
      </c>
      <c r="H58" t="s">
        <v>20</v>
      </c>
      <c r="I58" t="s">
        <v>824</v>
      </c>
      <c r="J58" t="s">
        <v>20</v>
      </c>
      <c r="K58" s="19" t="s">
        <v>829</v>
      </c>
      <c r="L58" t="s">
        <v>20</v>
      </c>
      <c r="M58" t="s">
        <v>833</v>
      </c>
      <c r="N58" t="s">
        <v>20</v>
      </c>
      <c r="O58" t="s">
        <v>835</v>
      </c>
      <c r="P58" t="s">
        <v>20</v>
      </c>
      <c r="Q58" t="s">
        <v>835</v>
      </c>
      <c r="R58" t="s">
        <v>20</v>
      </c>
      <c r="S58" s="19" t="s">
        <v>837</v>
      </c>
      <c r="T58" t="s">
        <v>20</v>
      </c>
      <c r="U58" t="s">
        <v>21</v>
      </c>
      <c r="V58" t="s">
        <v>20</v>
      </c>
      <c r="W58" t="s">
        <v>468</v>
      </c>
      <c r="X58" t="s">
        <v>20</v>
      </c>
      <c r="Y58" t="s">
        <v>19</v>
      </c>
      <c r="Z58" t="s">
        <v>20</v>
      </c>
      <c r="AA58" s="21">
        <v>0.60834670000000002</v>
      </c>
      <c r="AB58" t="s">
        <v>20</v>
      </c>
      <c r="AC58" s="21">
        <v>0.39973959999999997</v>
      </c>
      <c r="AD58" t="s">
        <v>20</v>
      </c>
      <c r="AE58" s="21">
        <v>0.10112359999999999</v>
      </c>
      <c r="AF58" t="s">
        <v>20</v>
      </c>
      <c r="AG58" s="21">
        <v>0.515625</v>
      </c>
      <c r="AJ58" t="str">
        <f>VLOOKUP(Sheet1!W58,'알람 범위'!$D$2:$F$45,3,FALSE)</f>
        <v>11500</v>
      </c>
      <c r="AK58">
        <v>2</v>
      </c>
      <c r="AL58">
        <f t="shared" si="0"/>
        <v>11502</v>
      </c>
      <c r="AM58" t="str">
        <f t="shared" si="1"/>
        <v>MO_INSP_STAGE_Y_GRAB_P1_MOVE</v>
      </c>
    </row>
    <row r="59" spans="1:39" x14ac:dyDescent="0.3">
      <c r="A59">
        <f t="shared" si="11"/>
        <v>11503</v>
      </c>
      <c r="B59" t="s">
        <v>20</v>
      </c>
      <c r="C59" t="s">
        <v>821</v>
      </c>
      <c r="D59" t="s">
        <v>20</v>
      </c>
      <c r="E59" t="s">
        <v>819</v>
      </c>
      <c r="F59" t="s">
        <v>20</v>
      </c>
      <c r="G59" t="s">
        <v>825</v>
      </c>
      <c r="H59" t="s">
        <v>20</v>
      </c>
      <c r="I59" t="s">
        <v>825</v>
      </c>
      <c r="J59" t="s">
        <v>20</v>
      </c>
      <c r="K59" s="19" t="s">
        <v>830</v>
      </c>
      <c r="L59" t="s">
        <v>20</v>
      </c>
      <c r="M59" t="s">
        <v>833</v>
      </c>
      <c r="N59" t="s">
        <v>20</v>
      </c>
      <c r="O59" t="s">
        <v>835</v>
      </c>
      <c r="P59" t="s">
        <v>20</v>
      </c>
      <c r="Q59" t="s">
        <v>835</v>
      </c>
      <c r="R59" t="s">
        <v>20</v>
      </c>
      <c r="S59" s="19" t="s">
        <v>837</v>
      </c>
      <c r="T59" t="s">
        <v>20</v>
      </c>
      <c r="U59" t="s">
        <v>21</v>
      </c>
      <c r="V59" t="s">
        <v>20</v>
      </c>
      <c r="W59" t="s">
        <v>469</v>
      </c>
      <c r="X59" t="s">
        <v>20</v>
      </c>
      <c r="Y59" t="s">
        <v>19</v>
      </c>
      <c r="Z59" t="s">
        <v>20</v>
      </c>
      <c r="AA59" s="21">
        <v>0.60834670000000002</v>
      </c>
      <c r="AB59" t="s">
        <v>20</v>
      </c>
      <c r="AC59" s="21">
        <v>0.39973959999999997</v>
      </c>
      <c r="AD59" t="s">
        <v>20</v>
      </c>
      <c r="AE59" s="21">
        <v>0.10112359999999999</v>
      </c>
      <c r="AF59" t="s">
        <v>20</v>
      </c>
      <c r="AG59" s="21">
        <v>0.515625</v>
      </c>
      <c r="AJ59" t="str">
        <f>VLOOKUP(Sheet1!W59,'알람 범위'!$D$2:$F$45,3,FALSE)</f>
        <v>11500</v>
      </c>
      <c r="AK59">
        <v>3</v>
      </c>
      <c r="AL59">
        <f t="shared" ref="AL59:AL66" si="12">AJ59+AK59</f>
        <v>11503</v>
      </c>
      <c r="AM59" t="str">
        <f t="shared" si="1"/>
        <v>MO_INSP_STAGE_Y_GRAB_P2_MOVE</v>
      </c>
    </row>
    <row r="60" spans="1:39" x14ac:dyDescent="0.3">
      <c r="A60">
        <f t="shared" si="11"/>
        <v>11504</v>
      </c>
      <c r="B60" t="s">
        <v>20</v>
      </c>
      <c r="C60" t="s">
        <v>840</v>
      </c>
      <c r="D60" t="s">
        <v>20</v>
      </c>
      <c r="E60" t="s">
        <v>817</v>
      </c>
      <c r="F60" t="s">
        <v>20</v>
      </c>
      <c r="G60" t="s">
        <v>826</v>
      </c>
      <c r="H60" t="s">
        <v>20</v>
      </c>
      <c r="I60" t="s">
        <v>826</v>
      </c>
      <c r="J60" t="s">
        <v>20</v>
      </c>
      <c r="K60" s="19" t="s">
        <v>831</v>
      </c>
      <c r="L60" t="s">
        <v>20</v>
      </c>
      <c r="M60" t="s">
        <v>833</v>
      </c>
      <c r="N60" t="s">
        <v>20</v>
      </c>
      <c r="O60" t="s">
        <v>835</v>
      </c>
      <c r="P60" t="s">
        <v>20</v>
      </c>
      <c r="Q60" t="s">
        <v>835</v>
      </c>
      <c r="R60" t="s">
        <v>20</v>
      </c>
      <c r="S60" s="19" t="s">
        <v>837</v>
      </c>
      <c r="T60" t="s">
        <v>20</v>
      </c>
      <c r="U60" t="s">
        <v>21</v>
      </c>
      <c r="V60" t="s">
        <v>20</v>
      </c>
      <c r="W60" t="s">
        <v>469</v>
      </c>
      <c r="X60" t="s">
        <v>20</v>
      </c>
      <c r="Y60" t="s">
        <v>19</v>
      </c>
      <c r="Z60" t="s">
        <v>20</v>
      </c>
      <c r="AA60" s="21">
        <v>0.60834670000000002</v>
      </c>
      <c r="AB60" t="s">
        <v>20</v>
      </c>
      <c r="AC60" s="21">
        <v>0.39973959999999997</v>
      </c>
      <c r="AD60" t="s">
        <v>20</v>
      </c>
      <c r="AE60" s="21">
        <v>0.10112359999999999</v>
      </c>
      <c r="AF60" t="s">
        <v>20</v>
      </c>
      <c r="AG60" s="21">
        <v>0.515625</v>
      </c>
      <c r="AJ60" t="str">
        <f>VLOOKUP(Sheet1!W60,'알람 범위'!$D$2:$F$45,3,FALSE)</f>
        <v>11500</v>
      </c>
      <c r="AK60">
        <v>4</v>
      </c>
      <c r="AL60">
        <f t="shared" si="12"/>
        <v>11504</v>
      </c>
      <c r="AM60" t="str">
        <f t="shared" si="1"/>
        <v>MO_INSP_STAGE_Y_UNLOAD_MOVE</v>
      </c>
    </row>
    <row r="61" spans="1:39" ht="16.5" customHeight="1" x14ac:dyDescent="0.3">
      <c r="A61">
        <f t="shared" si="11"/>
        <v>11600</v>
      </c>
      <c r="B61" t="s">
        <v>20</v>
      </c>
      <c r="C61" t="s">
        <v>332</v>
      </c>
      <c r="D61" t="s">
        <v>20</v>
      </c>
      <c r="E61" t="s">
        <v>436</v>
      </c>
      <c r="F61" t="s">
        <v>20</v>
      </c>
      <c r="G61" t="s">
        <v>460</v>
      </c>
      <c r="H61" t="s">
        <v>20</v>
      </c>
      <c r="I61" t="s">
        <v>460</v>
      </c>
      <c r="J61" t="s">
        <v>20</v>
      </c>
      <c r="K61" t="s">
        <v>460</v>
      </c>
      <c r="L61" t="s">
        <v>20</v>
      </c>
      <c r="M61" t="s">
        <v>442</v>
      </c>
      <c r="N61" t="s">
        <v>20</v>
      </c>
      <c r="O61" t="s">
        <v>466</v>
      </c>
      <c r="P61" t="s">
        <v>20</v>
      </c>
      <c r="Q61" t="s">
        <v>466</v>
      </c>
      <c r="R61" t="s">
        <v>20</v>
      </c>
      <c r="S61" t="s">
        <v>466</v>
      </c>
      <c r="T61" t="s">
        <v>20</v>
      </c>
      <c r="U61" t="s">
        <v>190</v>
      </c>
      <c r="V61" t="s">
        <v>20</v>
      </c>
      <c r="W61" t="s">
        <v>470</v>
      </c>
      <c r="X61" t="s">
        <v>20</v>
      </c>
      <c r="Y61" t="s">
        <v>19</v>
      </c>
      <c r="Z61" t="s">
        <v>20</v>
      </c>
      <c r="AA61" s="21">
        <v>0.60834670000000002</v>
      </c>
      <c r="AB61" t="s">
        <v>20</v>
      </c>
      <c r="AC61" s="21">
        <v>0.78776040000000003</v>
      </c>
      <c r="AD61" t="s">
        <v>20</v>
      </c>
      <c r="AE61" s="21">
        <v>0.10112359999999999</v>
      </c>
      <c r="AF61" t="s">
        <v>20</v>
      </c>
      <c r="AG61" s="21">
        <v>8.59375E-2</v>
      </c>
      <c r="AJ61" t="str">
        <f>VLOOKUP(Sheet1!W61,'알람 범위'!$D$2:$F$45,3,FALSE)</f>
        <v>11500</v>
      </c>
      <c r="AK61">
        <v>100</v>
      </c>
      <c r="AL61">
        <f t="shared" si="12"/>
        <v>11600</v>
      </c>
      <c r="AM61" t="str">
        <f t="shared" si="1"/>
        <v>VC_INSP_STAGE_P1_VACUUM</v>
      </c>
    </row>
    <row r="62" spans="1:39" ht="16.5" customHeight="1" x14ac:dyDescent="0.3">
      <c r="A62">
        <f t="shared" si="11"/>
        <v>11601</v>
      </c>
      <c r="B62" t="s">
        <v>20</v>
      </c>
      <c r="C62" t="s">
        <v>333</v>
      </c>
      <c r="D62" t="s">
        <v>20</v>
      </c>
      <c r="E62" t="s">
        <v>437</v>
      </c>
      <c r="F62" t="s">
        <v>20</v>
      </c>
      <c r="G62" t="s">
        <v>461</v>
      </c>
      <c r="H62" t="s">
        <v>20</v>
      </c>
      <c r="I62" t="s">
        <v>461</v>
      </c>
      <c r="J62" t="s">
        <v>20</v>
      </c>
      <c r="K62" t="s">
        <v>461</v>
      </c>
      <c r="L62" t="s">
        <v>20</v>
      </c>
      <c r="M62" t="s">
        <v>442</v>
      </c>
      <c r="N62" t="s">
        <v>20</v>
      </c>
      <c r="O62" t="s">
        <v>466</v>
      </c>
      <c r="P62" t="s">
        <v>20</v>
      </c>
      <c r="Q62" t="s">
        <v>466</v>
      </c>
      <c r="R62" t="s">
        <v>20</v>
      </c>
      <c r="S62" t="s">
        <v>466</v>
      </c>
      <c r="T62" t="s">
        <v>20</v>
      </c>
      <c r="U62" t="s">
        <v>191</v>
      </c>
      <c r="V62" t="s">
        <v>20</v>
      </c>
      <c r="W62" t="s">
        <v>471</v>
      </c>
      <c r="X62" t="s">
        <v>20</v>
      </c>
      <c r="Y62" t="s">
        <v>19</v>
      </c>
      <c r="Z62" t="s">
        <v>20</v>
      </c>
      <c r="AA62" s="21">
        <v>0.60834670000000002</v>
      </c>
      <c r="AB62" t="s">
        <v>20</v>
      </c>
      <c r="AC62" s="21">
        <v>0.78776040000000003</v>
      </c>
      <c r="AD62" t="s">
        <v>20</v>
      </c>
      <c r="AE62" s="21">
        <v>0.10112359999999999</v>
      </c>
      <c r="AF62" t="s">
        <v>20</v>
      </c>
      <c r="AG62" s="21">
        <v>8.59375E-2</v>
      </c>
      <c r="AJ62" t="str">
        <f>VLOOKUP(Sheet1!W62,'알람 범위'!$D$2:$F$45,3,FALSE)</f>
        <v>11500</v>
      </c>
      <c r="AK62">
        <v>101</v>
      </c>
      <c r="AL62">
        <f t="shared" si="12"/>
        <v>11601</v>
      </c>
      <c r="AM62" t="str">
        <f t="shared" si="1"/>
        <v>VC_INSP_STAGE_P1_BLOW</v>
      </c>
    </row>
    <row r="63" spans="1:39" ht="16.5" customHeight="1" x14ac:dyDescent="0.3">
      <c r="A63">
        <f t="shared" si="11"/>
        <v>11602</v>
      </c>
      <c r="B63" t="s">
        <v>20</v>
      </c>
      <c r="C63" t="s">
        <v>334</v>
      </c>
      <c r="D63" t="s">
        <v>20</v>
      </c>
      <c r="E63" t="s">
        <v>438</v>
      </c>
      <c r="F63" t="s">
        <v>20</v>
      </c>
      <c r="G63" t="s">
        <v>462</v>
      </c>
      <c r="H63" t="s">
        <v>20</v>
      </c>
      <c r="I63" t="s">
        <v>462</v>
      </c>
      <c r="J63" t="s">
        <v>20</v>
      </c>
      <c r="K63" t="s">
        <v>462</v>
      </c>
      <c r="L63" t="s">
        <v>20</v>
      </c>
      <c r="M63" t="s">
        <v>442</v>
      </c>
      <c r="N63" t="s">
        <v>20</v>
      </c>
      <c r="O63" t="s">
        <v>466</v>
      </c>
      <c r="P63" t="s">
        <v>20</v>
      </c>
      <c r="Q63" t="s">
        <v>466</v>
      </c>
      <c r="R63" t="s">
        <v>20</v>
      </c>
      <c r="S63" t="s">
        <v>466</v>
      </c>
      <c r="T63" t="s">
        <v>20</v>
      </c>
      <c r="U63" t="s">
        <v>95</v>
      </c>
      <c r="V63" t="s">
        <v>20</v>
      </c>
      <c r="W63" t="s">
        <v>468</v>
      </c>
      <c r="X63" t="s">
        <v>20</v>
      </c>
      <c r="Y63" t="s">
        <v>19</v>
      </c>
      <c r="Z63" t="s">
        <v>20</v>
      </c>
      <c r="AA63" s="21">
        <v>0.60834670000000002</v>
      </c>
      <c r="AB63" t="s">
        <v>20</v>
      </c>
      <c r="AC63" s="21">
        <v>0.78776040000000003</v>
      </c>
      <c r="AD63" t="s">
        <v>20</v>
      </c>
      <c r="AE63" s="21">
        <v>0.10112359999999999</v>
      </c>
      <c r="AF63" t="s">
        <v>20</v>
      </c>
      <c r="AG63" s="21">
        <v>8.59375E-2</v>
      </c>
      <c r="AJ63" t="str">
        <f>VLOOKUP(Sheet1!W63,'알람 범위'!$D$2:$F$45,3,FALSE)</f>
        <v>11500</v>
      </c>
      <c r="AK63">
        <v>102</v>
      </c>
      <c r="AL63">
        <f t="shared" si="12"/>
        <v>11602</v>
      </c>
      <c r="AM63" t="str">
        <f t="shared" si="1"/>
        <v>SE_INSP_STAGE_P1_VACUUM_CHECK</v>
      </c>
    </row>
    <row r="64" spans="1:39" ht="16.5" customHeight="1" x14ac:dyDescent="0.3">
      <c r="A64">
        <f t="shared" si="11"/>
        <v>11603</v>
      </c>
      <c r="B64" t="s">
        <v>20</v>
      </c>
      <c r="C64" t="s">
        <v>335</v>
      </c>
      <c r="D64" t="s">
        <v>20</v>
      </c>
      <c r="E64" t="s">
        <v>439</v>
      </c>
      <c r="F64" t="s">
        <v>20</v>
      </c>
      <c r="G64" t="s">
        <v>463</v>
      </c>
      <c r="H64" t="s">
        <v>20</v>
      </c>
      <c r="I64" t="s">
        <v>463</v>
      </c>
      <c r="J64" t="s">
        <v>20</v>
      </c>
      <c r="K64" t="s">
        <v>463</v>
      </c>
      <c r="L64" t="s">
        <v>20</v>
      </c>
      <c r="M64" t="s">
        <v>443</v>
      </c>
      <c r="N64" t="s">
        <v>20</v>
      </c>
      <c r="O64" t="s">
        <v>467</v>
      </c>
      <c r="P64" t="s">
        <v>20</v>
      </c>
      <c r="Q64" t="s">
        <v>467</v>
      </c>
      <c r="R64" t="s">
        <v>20</v>
      </c>
      <c r="S64" t="s">
        <v>467</v>
      </c>
      <c r="T64" t="s">
        <v>20</v>
      </c>
      <c r="U64" t="s">
        <v>95</v>
      </c>
      <c r="V64" t="s">
        <v>20</v>
      </c>
      <c r="W64" t="s">
        <v>471</v>
      </c>
      <c r="X64" t="s">
        <v>20</v>
      </c>
      <c r="Y64" t="s">
        <v>19</v>
      </c>
      <c r="Z64" t="s">
        <v>20</v>
      </c>
      <c r="AA64" s="21">
        <v>0.60834670000000002</v>
      </c>
      <c r="AB64" t="s">
        <v>20</v>
      </c>
      <c r="AC64" s="21">
        <v>0.78776040000000003</v>
      </c>
      <c r="AD64" t="s">
        <v>20</v>
      </c>
      <c r="AE64" s="21">
        <v>0.10112359999999999</v>
      </c>
      <c r="AF64" t="s">
        <v>20</v>
      </c>
      <c r="AG64" s="21">
        <v>8.59375E-2</v>
      </c>
      <c r="AJ64" t="str">
        <f>VLOOKUP(Sheet1!W64,'알람 범위'!$D$2:$F$45,3,FALSE)</f>
        <v>11500</v>
      </c>
      <c r="AK64">
        <v>103</v>
      </c>
      <c r="AL64">
        <f t="shared" si="12"/>
        <v>11603</v>
      </c>
      <c r="AM64" t="str">
        <f t="shared" si="1"/>
        <v>SE_INSP_STAGE_P1_SENSOR_CHECK</v>
      </c>
    </row>
    <row r="65" spans="1:39" ht="16.5" customHeight="1" x14ac:dyDescent="0.3">
      <c r="A65">
        <f t="shared" si="11"/>
        <v>11604</v>
      </c>
      <c r="B65" t="s">
        <v>20</v>
      </c>
      <c r="C65" t="s">
        <v>336</v>
      </c>
      <c r="D65" t="s">
        <v>20</v>
      </c>
      <c r="E65" t="s">
        <v>440</v>
      </c>
      <c r="F65" t="s">
        <v>20</v>
      </c>
      <c r="G65" t="s">
        <v>464</v>
      </c>
      <c r="H65" t="s">
        <v>20</v>
      </c>
      <c r="I65" t="s">
        <v>464</v>
      </c>
      <c r="J65" t="s">
        <v>20</v>
      </c>
      <c r="K65" t="s">
        <v>464</v>
      </c>
      <c r="L65" t="s">
        <v>20</v>
      </c>
      <c r="M65" t="s">
        <v>442</v>
      </c>
      <c r="N65" t="s">
        <v>20</v>
      </c>
      <c r="O65" t="s">
        <v>466</v>
      </c>
      <c r="P65" t="s">
        <v>20</v>
      </c>
      <c r="Q65" t="s">
        <v>466</v>
      </c>
      <c r="R65" t="s">
        <v>20</v>
      </c>
      <c r="S65" t="s">
        <v>466</v>
      </c>
      <c r="T65" t="s">
        <v>20</v>
      </c>
      <c r="U65" t="s">
        <v>95</v>
      </c>
      <c r="V65" t="s">
        <v>20</v>
      </c>
      <c r="W65" t="s">
        <v>468</v>
      </c>
      <c r="X65" t="s">
        <v>20</v>
      </c>
      <c r="Y65" t="s">
        <v>19</v>
      </c>
      <c r="Z65" t="s">
        <v>20</v>
      </c>
      <c r="AA65" s="21">
        <v>0.60834670000000002</v>
      </c>
      <c r="AB65" t="s">
        <v>20</v>
      </c>
      <c r="AC65" s="21">
        <v>0.78776040000000003</v>
      </c>
      <c r="AD65" t="s">
        <v>20</v>
      </c>
      <c r="AE65" s="21">
        <v>0.10112359999999999</v>
      </c>
      <c r="AF65" t="s">
        <v>20</v>
      </c>
      <c r="AG65" s="21">
        <v>8.59375E-2</v>
      </c>
      <c r="AJ65" t="str">
        <f>VLOOKUP(Sheet1!W65,'알람 범위'!$D$2:$F$45,3,FALSE)</f>
        <v>11500</v>
      </c>
      <c r="AK65">
        <v>104</v>
      </c>
      <c r="AL65">
        <f t="shared" si="12"/>
        <v>11604</v>
      </c>
      <c r="AM65" t="str">
        <f t="shared" si="1"/>
        <v>SE_INSP_STAGE_P1_VACUUM_OVERLAP</v>
      </c>
    </row>
    <row r="66" spans="1:39" ht="16.5" customHeight="1" x14ac:dyDescent="0.3">
      <c r="A66">
        <f t="shared" si="11"/>
        <v>11605</v>
      </c>
      <c r="B66" t="s">
        <v>20</v>
      </c>
      <c r="C66" t="s">
        <v>337</v>
      </c>
      <c r="D66" t="s">
        <v>20</v>
      </c>
      <c r="E66" t="s">
        <v>441</v>
      </c>
      <c r="F66" t="s">
        <v>20</v>
      </c>
      <c r="G66" t="s">
        <v>465</v>
      </c>
      <c r="H66" t="s">
        <v>20</v>
      </c>
      <c r="I66" t="s">
        <v>465</v>
      </c>
      <c r="J66" t="s">
        <v>20</v>
      </c>
      <c r="K66" t="s">
        <v>465</v>
      </c>
      <c r="L66" t="s">
        <v>20</v>
      </c>
      <c r="M66" t="s">
        <v>443</v>
      </c>
      <c r="N66" t="s">
        <v>20</v>
      </c>
      <c r="O66" t="s">
        <v>467</v>
      </c>
      <c r="P66" t="s">
        <v>20</v>
      </c>
      <c r="Q66" t="s">
        <v>467</v>
      </c>
      <c r="R66" t="s">
        <v>20</v>
      </c>
      <c r="S66" t="s">
        <v>467</v>
      </c>
      <c r="T66" t="s">
        <v>20</v>
      </c>
      <c r="U66" t="s">
        <v>95</v>
      </c>
      <c r="V66" t="s">
        <v>20</v>
      </c>
      <c r="W66" t="s">
        <v>472</v>
      </c>
      <c r="X66" t="s">
        <v>20</v>
      </c>
      <c r="Y66" t="s">
        <v>19</v>
      </c>
      <c r="Z66" t="s">
        <v>20</v>
      </c>
      <c r="AA66" s="21">
        <v>0.60834670000000002</v>
      </c>
      <c r="AB66" t="s">
        <v>20</v>
      </c>
      <c r="AC66" s="21">
        <v>0.78776040000000003</v>
      </c>
      <c r="AD66" t="s">
        <v>20</v>
      </c>
      <c r="AE66" s="21">
        <v>0.10112359999999999</v>
      </c>
      <c r="AF66" t="s">
        <v>20</v>
      </c>
      <c r="AG66" s="21">
        <v>8.59375E-2</v>
      </c>
      <c r="AJ66" t="str">
        <f>VLOOKUP(Sheet1!W66,'알람 범위'!$D$2:$F$45,3,FALSE)</f>
        <v>11500</v>
      </c>
      <c r="AK66">
        <v>105</v>
      </c>
      <c r="AL66">
        <f t="shared" si="12"/>
        <v>11605</v>
      </c>
      <c r="AM66" t="str">
        <f t="shared" ref="AM66:AM129" si="13">C66</f>
        <v>SE_INSP_STAGE_P1_SENSOR_OVERLAP</v>
      </c>
    </row>
    <row r="67" spans="1:39" ht="16.5" customHeight="1" x14ac:dyDescent="0.3">
      <c r="A67">
        <f t="shared" ref="A67:A72" si="14">AL67</f>
        <v>11610</v>
      </c>
      <c r="B67" t="s">
        <v>20</v>
      </c>
      <c r="C67" t="s">
        <v>524</v>
      </c>
      <c r="D67" t="s">
        <v>20</v>
      </c>
      <c r="E67" t="s">
        <v>525</v>
      </c>
      <c r="F67" t="s">
        <v>20</v>
      </c>
      <c r="G67" t="s">
        <v>526</v>
      </c>
      <c r="H67" t="s">
        <v>20</v>
      </c>
      <c r="I67" t="s">
        <v>526</v>
      </c>
      <c r="J67" t="s">
        <v>20</v>
      </c>
      <c r="K67" t="s">
        <v>526</v>
      </c>
      <c r="L67" t="s">
        <v>20</v>
      </c>
      <c r="M67" t="s">
        <v>527</v>
      </c>
      <c r="N67" t="s">
        <v>20</v>
      </c>
      <c r="O67" t="s">
        <v>528</v>
      </c>
      <c r="P67" t="s">
        <v>20</v>
      </c>
      <c r="Q67" t="s">
        <v>528</v>
      </c>
      <c r="R67" t="s">
        <v>20</v>
      </c>
      <c r="S67" t="s">
        <v>528</v>
      </c>
      <c r="T67" t="s">
        <v>20</v>
      </c>
      <c r="U67" t="s">
        <v>95</v>
      </c>
      <c r="V67" t="s">
        <v>20</v>
      </c>
      <c r="W67" t="s">
        <v>468</v>
      </c>
      <c r="X67" t="s">
        <v>20</v>
      </c>
      <c r="Y67" t="s">
        <v>19</v>
      </c>
      <c r="Z67" t="s">
        <v>20</v>
      </c>
      <c r="AA67" s="21">
        <v>0.61316210000000004</v>
      </c>
      <c r="AB67" t="s">
        <v>20</v>
      </c>
      <c r="AC67" s="21">
        <v>0.67708330000000005</v>
      </c>
      <c r="AD67" t="s">
        <v>20</v>
      </c>
      <c r="AE67" s="21">
        <v>9.4703049999999997E-2</v>
      </c>
      <c r="AF67" t="s">
        <v>20</v>
      </c>
      <c r="AG67" s="21">
        <v>8.59375E-2</v>
      </c>
      <c r="AJ67" t="str">
        <f>VLOOKUP(Sheet1!W67,'알람 범위'!$D$2:$F$45,3,FALSE)</f>
        <v>11500</v>
      </c>
      <c r="AK67">
        <v>110</v>
      </c>
      <c r="AL67">
        <f t="shared" ref="AL67:AL72" si="15">AJ67+AK67</f>
        <v>11610</v>
      </c>
      <c r="AM67" t="str">
        <f t="shared" si="13"/>
        <v>VC_INSP_STAGE_P2_VACUUM</v>
      </c>
    </row>
    <row r="68" spans="1:39" ht="16.5" customHeight="1" x14ac:dyDescent="0.3">
      <c r="A68">
        <f t="shared" si="14"/>
        <v>11611</v>
      </c>
      <c r="B68" t="s">
        <v>20</v>
      </c>
      <c r="C68" t="s">
        <v>529</v>
      </c>
      <c r="D68" t="s">
        <v>20</v>
      </c>
      <c r="E68" t="s">
        <v>530</v>
      </c>
      <c r="F68" t="s">
        <v>20</v>
      </c>
      <c r="G68" t="s">
        <v>531</v>
      </c>
      <c r="H68" t="s">
        <v>20</v>
      </c>
      <c r="I68" t="s">
        <v>531</v>
      </c>
      <c r="J68" t="s">
        <v>20</v>
      </c>
      <c r="K68" t="s">
        <v>531</v>
      </c>
      <c r="L68" t="s">
        <v>20</v>
      </c>
      <c r="M68" t="s">
        <v>527</v>
      </c>
      <c r="N68" t="s">
        <v>20</v>
      </c>
      <c r="O68" t="s">
        <v>528</v>
      </c>
      <c r="P68" t="s">
        <v>20</v>
      </c>
      <c r="Q68" t="s">
        <v>528</v>
      </c>
      <c r="R68" t="s">
        <v>20</v>
      </c>
      <c r="S68" t="s">
        <v>528</v>
      </c>
      <c r="T68" t="s">
        <v>20</v>
      </c>
      <c r="U68" t="s">
        <v>95</v>
      </c>
      <c r="V68" t="s">
        <v>20</v>
      </c>
      <c r="W68" t="s">
        <v>468</v>
      </c>
      <c r="X68" t="s">
        <v>20</v>
      </c>
      <c r="Y68" t="s">
        <v>19</v>
      </c>
      <c r="Z68" t="s">
        <v>20</v>
      </c>
      <c r="AA68" s="21">
        <v>0.61316210000000004</v>
      </c>
      <c r="AB68" t="s">
        <v>20</v>
      </c>
      <c r="AC68" s="21">
        <v>0.67708330000000005</v>
      </c>
      <c r="AD68" t="s">
        <v>20</v>
      </c>
      <c r="AE68" s="21">
        <v>9.4703049999999997E-2</v>
      </c>
      <c r="AF68" t="s">
        <v>20</v>
      </c>
      <c r="AG68" s="21">
        <v>8.59375E-2</v>
      </c>
      <c r="AJ68" t="str">
        <f>VLOOKUP(Sheet1!W68,'알람 범위'!$D$2:$F$45,3,FALSE)</f>
        <v>11500</v>
      </c>
      <c r="AK68">
        <v>111</v>
      </c>
      <c r="AL68">
        <f t="shared" si="15"/>
        <v>11611</v>
      </c>
      <c r="AM68" t="str">
        <f t="shared" si="13"/>
        <v>VC_INSP_STAGE_P2_BLOW</v>
      </c>
    </row>
    <row r="69" spans="1:39" ht="16.5" customHeight="1" x14ac:dyDescent="0.3">
      <c r="A69">
        <f t="shared" si="14"/>
        <v>11612</v>
      </c>
      <c r="B69" t="s">
        <v>20</v>
      </c>
      <c r="C69" t="s">
        <v>532</v>
      </c>
      <c r="D69" t="s">
        <v>20</v>
      </c>
      <c r="E69" t="s">
        <v>533</v>
      </c>
      <c r="F69" t="s">
        <v>20</v>
      </c>
      <c r="G69" t="s">
        <v>534</v>
      </c>
      <c r="H69" t="s">
        <v>20</v>
      </c>
      <c r="I69" t="s">
        <v>534</v>
      </c>
      <c r="J69" t="s">
        <v>20</v>
      </c>
      <c r="K69" t="s">
        <v>534</v>
      </c>
      <c r="L69" t="s">
        <v>20</v>
      </c>
      <c r="M69" t="s">
        <v>527</v>
      </c>
      <c r="N69" t="s">
        <v>20</v>
      </c>
      <c r="O69" t="s">
        <v>528</v>
      </c>
      <c r="P69" t="s">
        <v>20</v>
      </c>
      <c r="Q69" t="s">
        <v>528</v>
      </c>
      <c r="R69" t="s">
        <v>20</v>
      </c>
      <c r="S69" t="s">
        <v>528</v>
      </c>
      <c r="T69" t="s">
        <v>20</v>
      </c>
      <c r="U69" t="s">
        <v>95</v>
      </c>
      <c r="V69" t="s">
        <v>20</v>
      </c>
      <c r="W69" t="s">
        <v>468</v>
      </c>
      <c r="X69" t="s">
        <v>20</v>
      </c>
      <c r="Y69" t="s">
        <v>19</v>
      </c>
      <c r="Z69" t="s">
        <v>20</v>
      </c>
      <c r="AA69" s="21">
        <v>0.61316210000000004</v>
      </c>
      <c r="AB69" t="s">
        <v>20</v>
      </c>
      <c r="AC69" s="21">
        <v>0.67708330000000005</v>
      </c>
      <c r="AD69" t="s">
        <v>20</v>
      </c>
      <c r="AE69" s="21">
        <v>9.4703049999999997E-2</v>
      </c>
      <c r="AF69" t="s">
        <v>20</v>
      </c>
      <c r="AG69" s="21">
        <v>8.59375E-2</v>
      </c>
      <c r="AJ69" t="str">
        <f>VLOOKUP(Sheet1!W69,'알람 범위'!$D$2:$F$45,3,FALSE)</f>
        <v>11500</v>
      </c>
      <c r="AK69">
        <v>112</v>
      </c>
      <c r="AL69">
        <f t="shared" si="15"/>
        <v>11612</v>
      </c>
      <c r="AM69" t="str">
        <f t="shared" si="13"/>
        <v>SE_INSP_STAGE_P2_VACUUM_CHECK</v>
      </c>
    </row>
    <row r="70" spans="1:39" ht="16.5" customHeight="1" x14ac:dyDescent="0.3">
      <c r="A70">
        <f t="shared" si="14"/>
        <v>11613</v>
      </c>
      <c r="B70" t="s">
        <v>20</v>
      </c>
      <c r="C70" t="s">
        <v>535</v>
      </c>
      <c r="D70" t="s">
        <v>20</v>
      </c>
      <c r="E70" t="s">
        <v>536</v>
      </c>
      <c r="F70" t="s">
        <v>20</v>
      </c>
      <c r="G70" t="s">
        <v>537</v>
      </c>
      <c r="H70" t="s">
        <v>20</v>
      </c>
      <c r="I70" t="s">
        <v>537</v>
      </c>
      <c r="J70" t="s">
        <v>20</v>
      </c>
      <c r="K70" t="s">
        <v>537</v>
      </c>
      <c r="L70" t="s">
        <v>20</v>
      </c>
      <c r="M70" t="s">
        <v>538</v>
      </c>
      <c r="N70" t="s">
        <v>20</v>
      </c>
      <c r="O70" t="s">
        <v>539</v>
      </c>
      <c r="P70" t="s">
        <v>20</v>
      </c>
      <c r="Q70" t="s">
        <v>539</v>
      </c>
      <c r="R70" t="s">
        <v>20</v>
      </c>
      <c r="S70" t="s">
        <v>539</v>
      </c>
      <c r="T70" t="s">
        <v>20</v>
      </c>
      <c r="U70" t="s">
        <v>95</v>
      </c>
      <c r="V70" t="s">
        <v>20</v>
      </c>
      <c r="W70" t="s">
        <v>468</v>
      </c>
      <c r="X70" t="s">
        <v>20</v>
      </c>
      <c r="Y70" t="s">
        <v>19</v>
      </c>
      <c r="Z70" t="s">
        <v>20</v>
      </c>
      <c r="AA70" s="21">
        <v>0.61316210000000004</v>
      </c>
      <c r="AB70" t="s">
        <v>20</v>
      </c>
      <c r="AC70" s="21">
        <v>0.67708330000000005</v>
      </c>
      <c r="AD70" t="s">
        <v>20</v>
      </c>
      <c r="AE70" s="21">
        <v>9.4703049999999997E-2</v>
      </c>
      <c r="AF70" t="s">
        <v>20</v>
      </c>
      <c r="AG70" s="21">
        <v>8.59375E-2</v>
      </c>
      <c r="AJ70" t="str">
        <f>VLOOKUP(Sheet1!W70,'알람 범위'!$D$2:$F$45,3,FALSE)</f>
        <v>11500</v>
      </c>
      <c r="AK70">
        <v>113</v>
      </c>
      <c r="AL70">
        <f t="shared" si="15"/>
        <v>11613</v>
      </c>
      <c r="AM70" t="str">
        <f t="shared" si="13"/>
        <v>SE_INSP_STAGE_P2_SENSOR_CHECK</v>
      </c>
    </row>
    <row r="71" spans="1:39" ht="16.5" customHeight="1" x14ac:dyDescent="0.3">
      <c r="A71">
        <f t="shared" si="14"/>
        <v>11614</v>
      </c>
      <c r="B71" t="s">
        <v>20</v>
      </c>
      <c r="C71" t="s">
        <v>540</v>
      </c>
      <c r="D71" t="s">
        <v>20</v>
      </c>
      <c r="E71" t="s">
        <v>541</v>
      </c>
      <c r="F71" t="s">
        <v>20</v>
      </c>
      <c r="G71" t="s">
        <v>542</v>
      </c>
      <c r="H71" t="s">
        <v>20</v>
      </c>
      <c r="I71" t="s">
        <v>542</v>
      </c>
      <c r="J71" t="s">
        <v>20</v>
      </c>
      <c r="K71" t="s">
        <v>542</v>
      </c>
      <c r="L71" t="s">
        <v>20</v>
      </c>
      <c r="M71" t="s">
        <v>527</v>
      </c>
      <c r="N71" t="s">
        <v>20</v>
      </c>
      <c r="O71" t="s">
        <v>528</v>
      </c>
      <c r="P71" t="s">
        <v>20</v>
      </c>
      <c r="Q71" t="s">
        <v>528</v>
      </c>
      <c r="R71" t="s">
        <v>20</v>
      </c>
      <c r="S71" t="s">
        <v>528</v>
      </c>
      <c r="T71" t="s">
        <v>20</v>
      </c>
      <c r="U71" t="s">
        <v>95</v>
      </c>
      <c r="V71" t="s">
        <v>20</v>
      </c>
      <c r="W71" t="s">
        <v>468</v>
      </c>
      <c r="X71" t="s">
        <v>20</v>
      </c>
      <c r="Y71" t="s">
        <v>19</v>
      </c>
      <c r="Z71" t="s">
        <v>20</v>
      </c>
      <c r="AA71" s="21">
        <v>0.61316210000000004</v>
      </c>
      <c r="AB71" t="s">
        <v>20</v>
      </c>
      <c r="AC71" s="21">
        <v>0.67708330000000005</v>
      </c>
      <c r="AD71" t="s">
        <v>20</v>
      </c>
      <c r="AE71" s="21">
        <v>9.4703049999999997E-2</v>
      </c>
      <c r="AF71" t="s">
        <v>20</v>
      </c>
      <c r="AG71" s="21">
        <v>8.59375E-2</v>
      </c>
      <c r="AJ71" t="str">
        <f>VLOOKUP(Sheet1!W71,'알람 범위'!$D$2:$F$45,3,FALSE)</f>
        <v>11500</v>
      </c>
      <c r="AK71">
        <v>114</v>
      </c>
      <c r="AL71">
        <f t="shared" si="15"/>
        <v>11614</v>
      </c>
      <c r="AM71" t="str">
        <f t="shared" si="13"/>
        <v>SE_INSP_STAGE_P2_VACUUM_OVERLAP</v>
      </c>
    </row>
    <row r="72" spans="1:39" ht="16.5" customHeight="1" x14ac:dyDescent="0.3">
      <c r="A72">
        <f t="shared" si="14"/>
        <v>11615</v>
      </c>
      <c r="B72" t="s">
        <v>20</v>
      </c>
      <c r="C72" t="s">
        <v>543</v>
      </c>
      <c r="D72" t="s">
        <v>20</v>
      </c>
      <c r="E72" t="s">
        <v>544</v>
      </c>
      <c r="F72" t="s">
        <v>20</v>
      </c>
      <c r="G72" t="s">
        <v>545</v>
      </c>
      <c r="H72" t="s">
        <v>20</v>
      </c>
      <c r="I72" t="s">
        <v>545</v>
      </c>
      <c r="J72" t="s">
        <v>20</v>
      </c>
      <c r="K72" t="s">
        <v>545</v>
      </c>
      <c r="L72" t="s">
        <v>20</v>
      </c>
      <c r="M72" t="s">
        <v>538</v>
      </c>
      <c r="N72" t="s">
        <v>20</v>
      </c>
      <c r="O72" t="s">
        <v>539</v>
      </c>
      <c r="P72" t="s">
        <v>20</v>
      </c>
      <c r="Q72" t="s">
        <v>539</v>
      </c>
      <c r="R72" t="s">
        <v>20</v>
      </c>
      <c r="S72" t="s">
        <v>539</v>
      </c>
      <c r="T72" t="s">
        <v>20</v>
      </c>
      <c r="U72" t="s">
        <v>95</v>
      </c>
      <c r="V72" t="s">
        <v>20</v>
      </c>
      <c r="W72" t="s">
        <v>468</v>
      </c>
      <c r="X72" t="s">
        <v>20</v>
      </c>
      <c r="Y72" t="s">
        <v>19</v>
      </c>
      <c r="Z72" t="s">
        <v>20</v>
      </c>
      <c r="AA72" s="21">
        <v>0.61316210000000004</v>
      </c>
      <c r="AB72" t="s">
        <v>20</v>
      </c>
      <c r="AC72" s="21">
        <v>0.67708330000000005</v>
      </c>
      <c r="AD72" t="s">
        <v>20</v>
      </c>
      <c r="AE72" s="21">
        <v>9.4703049999999997E-2</v>
      </c>
      <c r="AF72" t="s">
        <v>20</v>
      </c>
      <c r="AG72" s="21">
        <v>8.59375E-2</v>
      </c>
      <c r="AJ72" t="str">
        <f>VLOOKUP(Sheet1!W72,'알람 범위'!$D$2:$F$45,3,FALSE)</f>
        <v>11500</v>
      </c>
      <c r="AK72">
        <v>115</v>
      </c>
      <c r="AL72">
        <f t="shared" si="15"/>
        <v>11615</v>
      </c>
      <c r="AM72" t="str">
        <f t="shared" si="13"/>
        <v>SE_INSP_STAGE_P2_SENSOR_OVERLAP</v>
      </c>
    </row>
    <row r="73" spans="1:39" x14ac:dyDescent="0.3">
      <c r="A73">
        <f t="shared" ref="A73:A105" si="16">AL73</f>
        <v>12000</v>
      </c>
      <c r="B73" t="s">
        <v>20</v>
      </c>
      <c r="C73" t="s">
        <v>339</v>
      </c>
      <c r="D73" t="s">
        <v>20</v>
      </c>
      <c r="E73" t="s">
        <v>352</v>
      </c>
      <c r="F73" t="s">
        <v>20</v>
      </c>
      <c r="G73" t="s">
        <v>366</v>
      </c>
      <c r="H73" t="s">
        <v>20</v>
      </c>
      <c r="I73" t="s">
        <v>366</v>
      </c>
      <c r="J73" t="s">
        <v>20</v>
      </c>
      <c r="K73" t="s">
        <v>366</v>
      </c>
      <c r="L73" t="s">
        <v>20</v>
      </c>
      <c r="M73" t="s">
        <v>379</v>
      </c>
      <c r="N73" t="s">
        <v>20</v>
      </c>
      <c r="O73" t="s">
        <v>383</v>
      </c>
      <c r="P73" t="s">
        <v>20</v>
      </c>
      <c r="Q73" t="s">
        <v>383</v>
      </c>
      <c r="R73" t="s">
        <v>20</v>
      </c>
      <c r="S73" t="s">
        <v>383</v>
      </c>
      <c r="T73" t="s">
        <v>20</v>
      </c>
      <c r="U73" t="s">
        <v>21</v>
      </c>
      <c r="V73" t="s">
        <v>20</v>
      </c>
      <c r="W73" t="s">
        <v>338</v>
      </c>
      <c r="X73" t="s">
        <v>20</v>
      </c>
      <c r="Y73" t="s">
        <v>19</v>
      </c>
      <c r="Z73" t="s">
        <v>20</v>
      </c>
      <c r="AA73" s="21">
        <v>0.61476730000000002</v>
      </c>
      <c r="AB73" t="s">
        <v>20</v>
      </c>
      <c r="AC73" s="21">
        <v>0.25911459999999997</v>
      </c>
      <c r="AD73" t="s">
        <v>20</v>
      </c>
      <c r="AE73" s="21">
        <v>0.22311400000000001</v>
      </c>
      <c r="AF73" t="s">
        <v>20</v>
      </c>
      <c r="AG73" s="21">
        <v>0.26432290000000003</v>
      </c>
      <c r="AJ73" t="str">
        <f>VLOOKUP(Sheet1!W73,'알람 범위'!$D$2:$F$45,3,FALSE)</f>
        <v>12000</v>
      </c>
      <c r="AK73">
        <v>0</v>
      </c>
      <c r="AL73">
        <f t="shared" ref="AL73:AL105" si="17">AJ73+AK73</f>
        <v>12000</v>
      </c>
      <c r="AM73" t="str">
        <f t="shared" si="13"/>
        <v>MO_TRANSFER_ROBOT_OUT_N_INITIALIZE</v>
      </c>
    </row>
    <row r="74" spans="1:39" x14ac:dyDescent="0.3">
      <c r="A74">
        <f t="shared" si="16"/>
        <v>12001</v>
      </c>
      <c r="B74" t="s">
        <v>20</v>
      </c>
      <c r="C74" t="s">
        <v>340</v>
      </c>
      <c r="D74" t="s">
        <v>20</v>
      </c>
      <c r="E74" t="s">
        <v>353</v>
      </c>
      <c r="F74" t="s">
        <v>20</v>
      </c>
      <c r="G74" t="s">
        <v>367</v>
      </c>
      <c r="H74" t="s">
        <v>20</v>
      </c>
      <c r="I74" t="s">
        <v>367</v>
      </c>
      <c r="J74" t="s">
        <v>20</v>
      </c>
      <c r="K74" t="s">
        <v>367</v>
      </c>
      <c r="L74" t="s">
        <v>20</v>
      </c>
      <c r="M74" t="s">
        <v>379</v>
      </c>
      <c r="N74" t="s">
        <v>20</v>
      </c>
      <c r="O74" t="s">
        <v>383</v>
      </c>
      <c r="P74" t="s">
        <v>20</v>
      </c>
      <c r="Q74" t="s">
        <v>383</v>
      </c>
      <c r="R74" t="s">
        <v>20</v>
      </c>
      <c r="S74" t="s">
        <v>383</v>
      </c>
      <c r="T74" t="s">
        <v>20</v>
      </c>
      <c r="U74" t="s">
        <v>21</v>
      </c>
      <c r="V74" t="s">
        <v>20</v>
      </c>
      <c r="W74" t="s">
        <v>338</v>
      </c>
      <c r="X74" t="s">
        <v>20</v>
      </c>
      <c r="Y74" t="s">
        <v>19</v>
      </c>
      <c r="Z74" t="s">
        <v>20</v>
      </c>
      <c r="AA74" s="21">
        <v>0.61476730000000002</v>
      </c>
      <c r="AB74" t="s">
        <v>20</v>
      </c>
      <c r="AC74" s="21">
        <v>0.25911459999999997</v>
      </c>
      <c r="AD74" t="s">
        <v>20</v>
      </c>
      <c r="AE74" s="21">
        <v>0.22311400000000001</v>
      </c>
      <c r="AF74" t="s">
        <v>20</v>
      </c>
      <c r="AG74" s="21">
        <v>0.26432290000000003</v>
      </c>
      <c r="AJ74" t="str">
        <f>VLOOKUP(Sheet1!W74,'알람 범위'!$D$2:$F$45,3,FALSE)</f>
        <v>12000</v>
      </c>
      <c r="AK74">
        <v>1</v>
      </c>
      <c r="AL74">
        <f t="shared" si="17"/>
        <v>12001</v>
      </c>
      <c r="AM74" t="str">
        <f t="shared" si="13"/>
        <v>MO_TRANSFER_ROBOT_OUT_PROCESS_SKIP</v>
      </c>
    </row>
    <row r="75" spans="1:39" x14ac:dyDescent="0.3">
      <c r="A75">
        <f t="shared" si="16"/>
        <v>12002</v>
      </c>
      <c r="B75" t="s">
        <v>20</v>
      </c>
      <c r="C75" t="s">
        <v>341</v>
      </c>
      <c r="D75" t="s">
        <v>20</v>
      </c>
      <c r="E75" t="s">
        <v>354</v>
      </c>
      <c r="F75" t="s">
        <v>20</v>
      </c>
      <c r="G75" t="s">
        <v>368</v>
      </c>
      <c r="H75" t="s">
        <v>20</v>
      </c>
      <c r="I75" t="s">
        <v>368</v>
      </c>
      <c r="J75" t="s">
        <v>20</v>
      </c>
      <c r="K75" t="s">
        <v>368</v>
      </c>
      <c r="L75" t="s">
        <v>20</v>
      </c>
      <c r="M75" t="s">
        <v>379</v>
      </c>
      <c r="N75" t="s">
        <v>20</v>
      </c>
      <c r="O75" t="s">
        <v>383</v>
      </c>
      <c r="P75" t="s">
        <v>20</v>
      </c>
      <c r="Q75" t="s">
        <v>383</v>
      </c>
      <c r="R75" t="s">
        <v>20</v>
      </c>
      <c r="S75" t="s">
        <v>383</v>
      </c>
      <c r="T75" t="s">
        <v>20</v>
      </c>
      <c r="U75" t="s">
        <v>21</v>
      </c>
      <c r="V75" t="s">
        <v>20</v>
      </c>
      <c r="W75" t="s">
        <v>338</v>
      </c>
      <c r="X75" t="s">
        <v>20</v>
      </c>
      <c r="Y75" t="s">
        <v>19</v>
      </c>
      <c r="Z75" t="s">
        <v>20</v>
      </c>
      <c r="AA75" s="21">
        <v>0.61476730000000002</v>
      </c>
      <c r="AB75" t="s">
        <v>20</v>
      </c>
      <c r="AC75" s="21">
        <v>0.25911459999999997</v>
      </c>
      <c r="AD75" t="s">
        <v>20</v>
      </c>
      <c r="AE75" s="21">
        <v>0.22311400000000001</v>
      </c>
      <c r="AF75" t="s">
        <v>20</v>
      </c>
      <c r="AG75" s="21">
        <v>0.26432290000000003</v>
      </c>
      <c r="AJ75" t="str">
        <f>VLOOKUP(Sheet1!W75,'알람 범위'!$D$2:$F$45,3,FALSE)</f>
        <v>12000</v>
      </c>
      <c r="AK75">
        <v>2</v>
      </c>
      <c r="AL75">
        <f t="shared" si="17"/>
        <v>12002</v>
      </c>
      <c r="AM75" t="str">
        <f t="shared" si="13"/>
        <v>MO_TRANSFER_ROBOT_OUT_ENTER_JCM_MODE</v>
      </c>
    </row>
    <row r="76" spans="1:39" x14ac:dyDescent="0.3">
      <c r="A76">
        <f t="shared" si="16"/>
        <v>12003</v>
      </c>
      <c r="B76" t="s">
        <v>20</v>
      </c>
      <c r="C76" t="s">
        <v>342</v>
      </c>
      <c r="D76" t="s">
        <v>20</v>
      </c>
      <c r="E76" t="s">
        <v>355</v>
      </c>
      <c r="F76" t="s">
        <v>20</v>
      </c>
      <c r="G76" t="s">
        <v>369</v>
      </c>
      <c r="H76" t="s">
        <v>20</v>
      </c>
      <c r="I76" t="s">
        <v>369</v>
      </c>
      <c r="J76" t="s">
        <v>20</v>
      </c>
      <c r="K76" t="s">
        <v>369</v>
      </c>
      <c r="L76" t="s">
        <v>20</v>
      </c>
      <c r="M76" t="s">
        <v>379</v>
      </c>
      <c r="N76" t="s">
        <v>20</v>
      </c>
      <c r="O76" t="s">
        <v>383</v>
      </c>
      <c r="P76" t="s">
        <v>20</v>
      </c>
      <c r="Q76" t="s">
        <v>383</v>
      </c>
      <c r="R76" t="s">
        <v>20</v>
      </c>
      <c r="S76" t="s">
        <v>383</v>
      </c>
      <c r="T76" t="s">
        <v>20</v>
      </c>
      <c r="U76" t="s">
        <v>21</v>
      </c>
      <c r="V76" t="s">
        <v>20</v>
      </c>
      <c r="W76" t="s">
        <v>338</v>
      </c>
      <c r="X76" t="s">
        <v>20</v>
      </c>
      <c r="Y76" t="s">
        <v>19</v>
      </c>
      <c r="Z76" t="s">
        <v>20</v>
      </c>
      <c r="AA76" s="21">
        <v>0.61476730000000002</v>
      </c>
      <c r="AB76" t="s">
        <v>20</v>
      </c>
      <c r="AC76" s="21">
        <v>0.25911459999999997</v>
      </c>
      <c r="AD76" t="s">
        <v>20</v>
      </c>
      <c r="AE76" s="21">
        <v>0.22311400000000001</v>
      </c>
      <c r="AF76" t="s">
        <v>20</v>
      </c>
      <c r="AG76" s="21">
        <v>0.26432290000000003</v>
      </c>
      <c r="AJ76" t="str">
        <f>VLOOKUP(Sheet1!W76,'알람 범위'!$D$2:$F$45,3,FALSE)</f>
        <v>12000</v>
      </c>
      <c r="AK76">
        <v>3</v>
      </c>
      <c r="AL76">
        <f t="shared" si="17"/>
        <v>12003</v>
      </c>
      <c r="AM76" t="str">
        <f t="shared" si="13"/>
        <v>MO_TRANSFER_ROBOT_OUT_JCM_MODE_MOVE</v>
      </c>
    </row>
    <row r="77" spans="1:39" x14ac:dyDescent="0.3">
      <c r="A77">
        <f t="shared" si="16"/>
        <v>12004</v>
      </c>
      <c r="B77" t="s">
        <v>20</v>
      </c>
      <c r="C77" t="s">
        <v>343</v>
      </c>
      <c r="D77" t="s">
        <v>20</v>
      </c>
      <c r="E77" t="s">
        <v>356</v>
      </c>
      <c r="F77" t="s">
        <v>20</v>
      </c>
      <c r="G77" t="s">
        <v>370</v>
      </c>
      <c r="H77" t="s">
        <v>20</v>
      </c>
      <c r="I77" t="s">
        <v>370</v>
      </c>
      <c r="J77" t="s">
        <v>20</v>
      </c>
      <c r="K77" t="s">
        <v>370</v>
      </c>
      <c r="L77" t="s">
        <v>20</v>
      </c>
      <c r="M77" t="s">
        <v>379</v>
      </c>
      <c r="N77" t="s">
        <v>20</v>
      </c>
      <c r="O77" t="s">
        <v>383</v>
      </c>
      <c r="P77" t="s">
        <v>20</v>
      </c>
      <c r="Q77" t="s">
        <v>383</v>
      </c>
      <c r="R77" t="s">
        <v>20</v>
      </c>
      <c r="S77" t="s">
        <v>383</v>
      </c>
      <c r="T77" t="s">
        <v>20</v>
      </c>
      <c r="U77" t="s">
        <v>21</v>
      </c>
      <c r="V77" t="s">
        <v>20</v>
      </c>
      <c r="W77" t="s">
        <v>338</v>
      </c>
      <c r="X77" t="s">
        <v>20</v>
      </c>
      <c r="Y77" t="s">
        <v>19</v>
      </c>
      <c r="Z77" t="s">
        <v>20</v>
      </c>
      <c r="AA77" s="21">
        <v>0.61476730000000002</v>
      </c>
      <c r="AB77" t="s">
        <v>20</v>
      </c>
      <c r="AC77" s="21">
        <v>0.25911459999999997</v>
      </c>
      <c r="AD77" t="s">
        <v>20</v>
      </c>
      <c r="AE77" s="21">
        <v>0.22311400000000001</v>
      </c>
      <c r="AF77" t="s">
        <v>20</v>
      </c>
      <c r="AG77" s="21">
        <v>0.26432290000000003</v>
      </c>
      <c r="AJ77" t="str">
        <f>VLOOKUP(Sheet1!W77,'알람 범위'!$D$2:$F$45,3,FALSE)</f>
        <v>12000</v>
      </c>
      <c r="AK77">
        <v>4</v>
      </c>
      <c r="AL77">
        <f t="shared" si="17"/>
        <v>12004</v>
      </c>
      <c r="AM77" t="str">
        <f t="shared" si="13"/>
        <v>MO_TRANSFER_ROBOT_OUT_EXIT_JCM_MODE</v>
      </c>
    </row>
    <row r="78" spans="1:39" x14ac:dyDescent="0.3">
      <c r="A78">
        <f t="shared" si="16"/>
        <v>12005</v>
      </c>
      <c r="B78" t="s">
        <v>20</v>
      </c>
      <c r="C78" t="s">
        <v>448</v>
      </c>
      <c r="D78" t="s">
        <v>20</v>
      </c>
      <c r="E78" t="s">
        <v>454</v>
      </c>
      <c r="F78" t="s">
        <v>20</v>
      </c>
      <c r="G78" t="s">
        <v>624</v>
      </c>
      <c r="H78" t="s">
        <v>20</v>
      </c>
      <c r="I78" t="s">
        <v>624</v>
      </c>
      <c r="J78" t="s">
        <v>20</v>
      </c>
      <c r="K78" t="s">
        <v>624</v>
      </c>
      <c r="L78" t="s">
        <v>20</v>
      </c>
      <c r="M78" t="s">
        <v>379</v>
      </c>
      <c r="N78" t="s">
        <v>20</v>
      </c>
      <c r="O78" t="s">
        <v>383</v>
      </c>
      <c r="P78" t="s">
        <v>20</v>
      </c>
      <c r="Q78" t="s">
        <v>383</v>
      </c>
      <c r="R78" t="s">
        <v>20</v>
      </c>
      <c r="S78" t="s">
        <v>383</v>
      </c>
      <c r="T78" t="s">
        <v>20</v>
      </c>
      <c r="U78" t="s">
        <v>21</v>
      </c>
      <c r="V78" t="s">
        <v>20</v>
      </c>
      <c r="W78" t="s">
        <v>338</v>
      </c>
      <c r="X78" t="s">
        <v>20</v>
      </c>
      <c r="Y78" t="s">
        <v>19</v>
      </c>
      <c r="Z78" t="s">
        <v>20</v>
      </c>
      <c r="AA78" s="21">
        <v>0.61476730000000002</v>
      </c>
      <c r="AB78" t="s">
        <v>20</v>
      </c>
      <c r="AC78" s="21">
        <v>0.25911459999999997</v>
      </c>
      <c r="AD78" t="s">
        <v>20</v>
      </c>
      <c r="AE78" s="21">
        <v>0.22311400000000001</v>
      </c>
      <c r="AF78" t="s">
        <v>20</v>
      </c>
      <c r="AG78" s="21">
        <v>0.26432290000000003</v>
      </c>
      <c r="AJ78" t="str">
        <f>VLOOKUP(Sheet1!W78,'알람 범위'!$D$2:$F$45,3,FALSE)</f>
        <v>12000</v>
      </c>
      <c r="AK78">
        <v>5</v>
      </c>
      <c r="AL78">
        <f t="shared" si="17"/>
        <v>12005</v>
      </c>
      <c r="AM78" t="str">
        <f t="shared" si="13"/>
        <v>MO_TRANSFER_ROBOT_OUT_LOAD_BEGIN</v>
      </c>
    </row>
    <row r="79" spans="1:39" x14ac:dyDescent="0.3">
      <c r="A79">
        <f t="shared" si="16"/>
        <v>12006</v>
      </c>
      <c r="B79" t="s">
        <v>20</v>
      </c>
      <c r="C79" t="s">
        <v>449</v>
      </c>
      <c r="D79" t="s">
        <v>20</v>
      </c>
      <c r="E79" t="s">
        <v>455</v>
      </c>
      <c r="F79" t="s">
        <v>20</v>
      </c>
      <c r="G79" t="s">
        <v>625</v>
      </c>
      <c r="H79" t="s">
        <v>20</v>
      </c>
      <c r="I79" t="s">
        <v>625</v>
      </c>
      <c r="J79" t="s">
        <v>20</v>
      </c>
      <c r="K79" t="s">
        <v>625</v>
      </c>
      <c r="L79" t="s">
        <v>20</v>
      </c>
      <c r="M79" t="s">
        <v>379</v>
      </c>
      <c r="N79" t="s">
        <v>20</v>
      </c>
      <c r="O79" t="s">
        <v>383</v>
      </c>
      <c r="P79" t="s">
        <v>20</v>
      </c>
      <c r="Q79" t="s">
        <v>383</v>
      </c>
      <c r="R79" t="s">
        <v>20</v>
      </c>
      <c r="S79" t="s">
        <v>383</v>
      </c>
      <c r="T79" t="s">
        <v>20</v>
      </c>
      <c r="U79" t="s">
        <v>21</v>
      </c>
      <c r="V79" t="s">
        <v>20</v>
      </c>
      <c r="W79" t="s">
        <v>338</v>
      </c>
      <c r="X79" t="s">
        <v>20</v>
      </c>
      <c r="Y79" t="s">
        <v>19</v>
      </c>
      <c r="Z79" t="s">
        <v>20</v>
      </c>
      <c r="AA79" s="21">
        <v>0.61476730000000002</v>
      </c>
      <c r="AB79" t="s">
        <v>20</v>
      </c>
      <c r="AC79" s="21">
        <v>0.25911459999999997</v>
      </c>
      <c r="AD79" t="s">
        <v>20</v>
      </c>
      <c r="AE79" s="21">
        <v>0.22311400000000001</v>
      </c>
      <c r="AF79" t="s">
        <v>20</v>
      </c>
      <c r="AG79" s="21">
        <v>0.26432290000000003</v>
      </c>
      <c r="AJ79" t="str">
        <f>VLOOKUP(Sheet1!W79,'알람 범위'!$D$2:$F$45,3,FALSE)</f>
        <v>12000</v>
      </c>
      <c r="AK79">
        <v>6</v>
      </c>
      <c r="AL79">
        <f t="shared" si="17"/>
        <v>12006</v>
      </c>
      <c r="AM79" t="str">
        <f t="shared" si="13"/>
        <v>MO_TRANSFER_ROBOT_OUT_LOAD_PERMIT</v>
      </c>
    </row>
    <row r="80" spans="1:39" x14ac:dyDescent="0.3">
      <c r="A80">
        <f t="shared" si="16"/>
        <v>12007</v>
      </c>
      <c r="B80" t="s">
        <v>20</v>
      </c>
      <c r="C80" t="s">
        <v>450</v>
      </c>
      <c r="D80" t="s">
        <v>20</v>
      </c>
      <c r="E80" t="s">
        <v>456</v>
      </c>
      <c r="F80" t="s">
        <v>20</v>
      </c>
      <c r="G80" t="s">
        <v>626</v>
      </c>
      <c r="H80" t="s">
        <v>20</v>
      </c>
      <c r="I80" t="s">
        <v>626</v>
      </c>
      <c r="J80" t="s">
        <v>20</v>
      </c>
      <c r="K80" t="s">
        <v>626</v>
      </c>
      <c r="L80" t="s">
        <v>20</v>
      </c>
      <c r="M80" t="s">
        <v>379</v>
      </c>
      <c r="N80" t="s">
        <v>20</v>
      </c>
      <c r="O80" t="s">
        <v>383</v>
      </c>
      <c r="P80" t="s">
        <v>20</v>
      </c>
      <c r="Q80" t="s">
        <v>383</v>
      </c>
      <c r="R80" t="s">
        <v>20</v>
      </c>
      <c r="S80" t="s">
        <v>383</v>
      </c>
      <c r="T80" t="s">
        <v>20</v>
      </c>
      <c r="U80" t="s">
        <v>21</v>
      </c>
      <c r="V80" t="s">
        <v>20</v>
      </c>
      <c r="W80" t="s">
        <v>338</v>
      </c>
      <c r="X80" t="s">
        <v>20</v>
      </c>
      <c r="Y80" t="s">
        <v>19</v>
      </c>
      <c r="Z80" t="s">
        <v>20</v>
      </c>
      <c r="AA80" s="21">
        <v>0.61476730000000002</v>
      </c>
      <c r="AB80" t="s">
        <v>20</v>
      </c>
      <c r="AC80" s="21">
        <v>0.25911459999999997</v>
      </c>
      <c r="AD80" t="s">
        <v>20</v>
      </c>
      <c r="AE80" s="21">
        <v>0.22311400000000001</v>
      </c>
      <c r="AF80" t="s">
        <v>20</v>
      </c>
      <c r="AG80" s="21">
        <v>0.26432290000000003</v>
      </c>
      <c r="AJ80" t="str">
        <f>VLOOKUP(Sheet1!W80,'알람 범위'!$D$2:$F$45,3,FALSE)</f>
        <v>12000</v>
      </c>
      <c r="AK80">
        <v>7</v>
      </c>
      <c r="AL80">
        <f t="shared" si="17"/>
        <v>12007</v>
      </c>
      <c r="AM80" t="str">
        <f t="shared" si="13"/>
        <v>MO_TRANSFER_ROBOT_OUT_LOAD_EXIT</v>
      </c>
    </row>
    <row r="81" spans="1:39" x14ac:dyDescent="0.3">
      <c r="A81">
        <f t="shared" si="16"/>
        <v>12008</v>
      </c>
      <c r="B81" t="s">
        <v>20</v>
      </c>
      <c r="C81" t="s">
        <v>451</v>
      </c>
      <c r="D81" t="s">
        <v>128</v>
      </c>
      <c r="E81" t="s">
        <v>457</v>
      </c>
      <c r="F81" t="s">
        <v>20</v>
      </c>
      <c r="G81" t="s">
        <v>627</v>
      </c>
      <c r="H81" t="s">
        <v>20</v>
      </c>
      <c r="I81" t="s">
        <v>627</v>
      </c>
      <c r="J81" t="s">
        <v>20</v>
      </c>
      <c r="K81" t="s">
        <v>627</v>
      </c>
      <c r="L81" t="s">
        <v>20</v>
      </c>
      <c r="M81" t="s">
        <v>379</v>
      </c>
      <c r="N81" t="s">
        <v>20</v>
      </c>
      <c r="O81" t="s">
        <v>383</v>
      </c>
      <c r="P81" t="s">
        <v>20</v>
      </c>
      <c r="Q81" t="s">
        <v>383</v>
      </c>
      <c r="R81" t="s">
        <v>20</v>
      </c>
      <c r="S81" t="s">
        <v>383</v>
      </c>
      <c r="T81" t="s">
        <v>20</v>
      </c>
      <c r="U81" t="s">
        <v>21</v>
      </c>
      <c r="V81" t="s">
        <v>20</v>
      </c>
      <c r="W81" t="s">
        <v>338</v>
      </c>
      <c r="X81" t="s">
        <v>20</v>
      </c>
      <c r="Y81" t="s">
        <v>19</v>
      </c>
      <c r="Z81" t="s">
        <v>20</v>
      </c>
      <c r="AA81" s="21">
        <v>0.61476730000000002</v>
      </c>
      <c r="AB81" t="s">
        <v>20</v>
      </c>
      <c r="AC81" s="21">
        <v>0.25911459999999997</v>
      </c>
      <c r="AD81" t="s">
        <v>20</v>
      </c>
      <c r="AE81" s="21">
        <v>0.22311400000000001</v>
      </c>
      <c r="AF81" t="s">
        <v>20</v>
      </c>
      <c r="AG81" s="21">
        <v>0.26432290000000003</v>
      </c>
      <c r="AJ81" t="str">
        <f>VLOOKUP(Sheet1!W81,'알람 범위'!$D$2:$F$45,3,FALSE)</f>
        <v>12000</v>
      </c>
      <c r="AK81">
        <v>8</v>
      </c>
      <c r="AL81">
        <f t="shared" si="17"/>
        <v>12008</v>
      </c>
      <c r="AM81" t="str">
        <f t="shared" si="13"/>
        <v>MO_TRANSFER_ROBOT_OUT_UNLOAD_BEGIN</v>
      </c>
    </row>
    <row r="82" spans="1:39" x14ac:dyDescent="0.3">
      <c r="A82">
        <f t="shared" si="16"/>
        <v>12009</v>
      </c>
      <c r="B82" t="s">
        <v>20</v>
      </c>
      <c r="C82" t="s">
        <v>452</v>
      </c>
      <c r="D82" t="s">
        <v>20</v>
      </c>
      <c r="E82" t="s">
        <v>458</v>
      </c>
      <c r="F82" t="s">
        <v>20</v>
      </c>
      <c r="G82" t="s">
        <v>628</v>
      </c>
      <c r="H82" t="s">
        <v>20</v>
      </c>
      <c r="I82" t="s">
        <v>628</v>
      </c>
      <c r="J82" t="s">
        <v>20</v>
      </c>
      <c r="K82" t="s">
        <v>628</v>
      </c>
      <c r="L82" t="s">
        <v>20</v>
      </c>
      <c r="M82" t="s">
        <v>379</v>
      </c>
      <c r="N82" t="s">
        <v>20</v>
      </c>
      <c r="O82" t="s">
        <v>383</v>
      </c>
      <c r="P82" t="s">
        <v>20</v>
      </c>
      <c r="Q82" t="s">
        <v>383</v>
      </c>
      <c r="R82" t="s">
        <v>20</v>
      </c>
      <c r="S82" t="s">
        <v>383</v>
      </c>
      <c r="T82" t="s">
        <v>20</v>
      </c>
      <c r="U82" t="s">
        <v>21</v>
      </c>
      <c r="V82" t="s">
        <v>20</v>
      </c>
      <c r="W82" t="s">
        <v>338</v>
      </c>
      <c r="X82" t="s">
        <v>20</v>
      </c>
      <c r="Y82" t="s">
        <v>19</v>
      </c>
      <c r="Z82" t="s">
        <v>20</v>
      </c>
      <c r="AA82" s="21">
        <v>0.61476730000000002</v>
      </c>
      <c r="AB82" t="s">
        <v>20</v>
      </c>
      <c r="AC82" s="21">
        <v>0.25911459999999997</v>
      </c>
      <c r="AD82" t="s">
        <v>20</v>
      </c>
      <c r="AE82" s="21">
        <v>0.22311400000000001</v>
      </c>
      <c r="AF82" t="s">
        <v>20</v>
      </c>
      <c r="AG82" s="21">
        <v>0.26432290000000003</v>
      </c>
      <c r="AJ82" t="str">
        <f>VLOOKUP(Sheet1!W82,'알람 범위'!$D$2:$F$45,3,FALSE)</f>
        <v>12000</v>
      </c>
      <c r="AK82">
        <v>9</v>
      </c>
      <c r="AL82">
        <f t="shared" si="17"/>
        <v>12009</v>
      </c>
      <c r="AM82" t="str">
        <f t="shared" si="13"/>
        <v>MO_TRANSFER_ROBOT_OUT_UNLOAD_PERMIT</v>
      </c>
    </row>
    <row r="83" spans="1:39" x14ac:dyDescent="0.3">
      <c r="A83">
        <f t="shared" si="16"/>
        <v>12010</v>
      </c>
      <c r="B83" t="s">
        <v>20</v>
      </c>
      <c r="C83" t="s">
        <v>453</v>
      </c>
      <c r="D83" t="s">
        <v>20</v>
      </c>
      <c r="E83" t="s">
        <v>459</v>
      </c>
      <c r="F83" t="s">
        <v>20</v>
      </c>
      <c r="G83" t="s">
        <v>629</v>
      </c>
      <c r="H83" t="s">
        <v>20</v>
      </c>
      <c r="I83" t="s">
        <v>629</v>
      </c>
      <c r="J83" t="s">
        <v>20</v>
      </c>
      <c r="K83" t="s">
        <v>629</v>
      </c>
      <c r="L83" t="s">
        <v>20</v>
      </c>
      <c r="M83" t="s">
        <v>379</v>
      </c>
      <c r="N83" t="s">
        <v>20</v>
      </c>
      <c r="O83" t="s">
        <v>383</v>
      </c>
      <c r="P83" t="s">
        <v>20</v>
      </c>
      <c r="Q83" t="s">
        <v>383</v>
      </c>
      <c r="R83" t="s">
        <v>20</v>
      </c>
      <c r="S83" t="s">
        <v>383</v>
      </c>
      <c r="T83" t="s">
        <v>20</v>
      </c>
      <c r="U83" t="s">
        <v>21</v>
      </c>
      <c r="V83" t="s">
        <v>20</v>
      </c>
      <c r="W83" t="s">
        <v>338</v>
      </c>
      <c r="X83" t="s">
        <v>20</v>
      </c>
      <c r="Y83" t="s">
        <v>19</v>
      </c>
      <c r="Z83" t="s">
        <v>20</v>
      </c>
      <c r="AA83" s="21">
        <v>0.61476730000000002</v>
      </c>
      <c r="AB83" t="s">
        <v>20</v>
      </c>
      <c r="AC83" s="21">
        <v>0.25911459999999997</v>
      </c>
      <c r="AD83" t="s">
        <v>20</v>
      </c>
      <c r="AE83" s="21">
        <v>0.22311400000000001</v>
      </c>
      <c r="AF83" t="s">
        <v>20</v>
      </c>
      <c r="AG83" s="21">
        <v>0.26432290000000003</v>
      </c>
      <c r="AJ83" t="str">
        <f>VLOOKUP(Sheet1!W83,'알람 범위'!$D$2:$F$45,3,FALSE)</f>
        <v>12000</v>
      </c>
      <c r="AK83">
        <v>10</v>
      </c>
      <c r="AL83">
        <f t="shared" si="17"/>
        <v>12010</v>
      </c>
      <c r="AM83" t="str">
        <f t="shared" si="13"/>
        <v>MO_TRANSFER_ROBOT_OUT_UNLOAD_EXIT</v>
      </c>
    </row>
    <row r="84" spans="1:39" x14ac:dyDescent="0.3">
      <c r="A84">
        <f t="shared" ref="A84:A87" si="18">AL84</f>
        <v>12100</v>
      </c>
      <c r="B84" t="s">
        <v>20</v>
      </c>
      <c r="C84" t="s">
        <v>709</v>
      </c>
      <c r="D84" t="s">
        <v>20</v>
      </c>
      <c r="E84" t="s">
        <v>713</v>
      </c>
      <c r="F84" t="s">
        <v>20</v>
      </c>
      <c r="G84" t="s">
        <v>717</v>
      </c>
      <c r="H84" t="s">
        <v>20</v>
      </c>
      <c r="I84" t="s">
        <v>717</v>
      </c>
      <c r="J84" t="s">
        <v>20</v>
      </c>
      <c r="K84" t="s">
        <v>717</v>
      </c>
      <c r="L84" t="s">
        <v>20</v>
      </c>
      <c r="M84" t="s">
        <v>611</v>
      </c>
      <c r="N84" t="s">
        <v>20</v>
      </c>
      <c r="O84" t="s">
        <v>613</v>
      </c>
      <c r="P84" t="s">
        <v>20</v>
      </c>
      <c r="Q84" t="s">
        <v>613</v>
      </c>
      <c r="R84" t="s">
        <v>20</v>
      </c>
      <c r="S84" t="s">
        <v>613</v>
      </c>
      <c r="T84" t="s">
        <v>20</v>
      </c>
      <c r="U84" t="s">
        <v>21</v>
      </c>
      <c r="V84" t="s">
        <v>20</v>
      </c>
      <c r="W84" t="s">
        <v>298</v>
      </c>
      <c r="X84" t="s">
        <v>20</v>
      </c>
      <c r="Y84" t="s">
        <v>19</v>
      </c>
      <c r="Z84" t="s">
        <v>20</v>
      </c>
      <c r="AA84" s="21">
        <v>0.73515249999999999</v>
      </c>
      <c r="AB84" t="s">
        <v>20</v>
      </c>
      <c r="AC84" s="21">
        <v>0.42317709999999997</v>
      </c>
      <c r="AD84" t="s">
        <v>20</v>
      </c>
      <c r="AE84" s="21">
        <v>9.6308190000000002E-2</v>
      </c>
      <c r="AF84" t="s">
        <v>20</v>
      </c>
      <c r="AG84" s="21">
        <v>9.6354159999999994E-2</v>
      </c>
      <c r="AJ84" t="str">
        <f>VLOOKUP(Sheet1!W84,'알람 범위'!$D$2:$F$45,3,FALSE)</f>
        <v>12000</v>
      </c>
      <c r="AK84">
        <v>100</v>
      </c>
      <c r="AL84">
        <f t="shared" ref="AL84:AL87" si="19">AJ84+AK84</f>
        <v>12100</v>
      </c>
      <c r="AM84" t="str">
        <f t="shared" si="13"/>
        <v>CY_TRANSFER_ROBOT_OUT_P1_T_TURN</v>
      </c>
    </row>
    <row r="85" spans="1:39" x14ac:dyDescent="0.3">
      <c r="A85">
        <f t="shared" si="18"/>
        <v>12101</v>
      </c>
      <c r="B85" t="s">
        <v>20</v>
      </c>
      <c r="C85" t="s">
        <v>710</v>
      </c>
      <c r="D85" t="s">
        <v>20</v>
      </c>
      <c r="E85" t="s">
        <v>714</v>
      </c>
      <c r="F85" t="s">
        <v>20</v>
      </c>
      <c r="G85" t="s">
        <v>718</v>
      </c>
      <c r="H85" t="s">
        <v>20</v>
      </c>
      <c r="I85" t="s">
        <v>718</v>
      </c>
      <c r="J85" t="s">
        <v>20</v>
      </c>
      <c r="K85" t="s">
        <v>718</v>
      </c>
      <c r="L85" t="s">
        <v>20</v>
      </c>
      <c r="M85" t="s">
        <v>611</v>
      </c>
      <c r="N85" t="s">
        <v>20</v>
      </c>
      <c r="O85" t="s">
        <v>613</v>
      </c>
      <c r="P85" t="s">
        <v>20</v>
      </c>
      <c r="Q85" t="s">
        <v>613</v>
      </c>
      <c r="R85" t="s">
        <v>20</v>
      </c>
      <c r="S85" t="s">
        <v>613</v>
      </c>
      <c r="T85" t="s">
        <v>20</v>
      </c>
      <c r="U85" t="s">
        <v>21</v>
      </c>
      <c r="V85" t="s">
        <v>20</v>
      </c>
      <c r="W85" t="s">
        <v>338</v>
      </c>
      <c r="X85" t="s">
        <v>20</v>
      </c>
      <c r="Y85" t="s">
        <v>19</v>
      </c>
      <c r="Z85" t="s">
        <v>20</v>
      </c>
      <c r="AA85" s="21">
        <v>0.73515249999999999</v>
      </c>
      <c r="AB85" t="s">
        <v>20</v>
      </c>
      <c r="AC85" s="21">
        <v>0.42317709999999997</v>
      </c>
      <c r="AD85" t="s">
        <v>20</v>
      </c>
      <c r="AE85" s="21">
        <v>9.6308190000000002E-2</v>
      </c>
      <c r="AF85" t="s">
        <v>20</v>
      </c>
      <c r="AG85" s="21">
        <v>9.6354159999999994E-2</v>
      </c>
      <c r="AJ85" t="str">
        <f>VLOOKUP(Sheet1!W85,'알람 범위'!$D$2:$F$45,3,FALSE)</f>
        <v>12000</v>
      </c>
      <c r="AK85">
        <v>101</v>
      </c>
      <c r="AL85">
        <f t="shared" si="19"/>
        <v>12101</v>
      </c>
      <c r="AM85" t="str">
        <f t="shared" si="13"/>
        <v>CY_TRANSFER_ROBOT_OUT_P1_T_RETURN</v>
      </c>
    </row>
    <row r="86" spans="1:39" x14ac:dyDescent="0.3">
      <c r="A86">
        <f t="shared" si="18"/>
        <v>12110</v>
      </c>
      <c r="B86" t="s">
        <v>20</v>
      </c>
      <c r="C86" t="s">
        <v>711</v>
      </c>
      <c r="D86" t="s">
        <v>20</v>
      </c>
      <c r="E86" t="s">
        <v>715</v>
      </c>
      <c r="F86" t="s">
        <v>20</v>
      </c>
      <c r="G86" t="s">
        <v>719</v>
      </c>
      <c r="H86" t="s">
        <v>20</v>
      </c>
      <c r="I86" t="s">
        <v>719</v>
      </c>
      <c r="J86" t="s">
        <v>20</v>
      </c>
      <c r="K86" t="s">
        <v>719</v>
      </c>
      <c r="L86" t="s">
        <v>20</v>
      </c>
      <c r="M86" t="s">
        <v>612</v>
      </c>
      <c r="N86" t="s">
        <v>20</v>
      </c>
      <c r="O86" t="s">
        <v>614</v>
      </c>
      <c r="P86" t="s">
        <v>20</v>
      </c>
      <c r="Q86" t="s">
        <v>614</v>
      </c>
      <c r="R86" t="s">
        <v>20</v>
      </c>
      <c r="S86" t="s">
        <v>614</v>
      </c>
      <c r="T86" t="s">
        <v>20</v>
      </c>
      <c r="U86" t="s">
        <v>21</v>
      </c>
      <c r="V86" t="s">
        <v>20</v>
      </c>
      <c r="W86" t="s">
        <v>338</v>
      </c>
      <c r="X86" t="s">
        <v>20</v>
      </c>
      <c r="Y86" t="s">
        <v>19</v>
      </c>
      <c r="Z86" t="s">
        <v>20</v>
      </c>
      <c r="AA86" s="21">
        <v>0.61637240000000004</v>
      </c>
      <c r="AB86" t="s">
        <v>20</v>
      </c>
      <c r="AC86" s="21">
        <v>0.421875</v>
      </c>
      <c r="AD86" t="s">
        <v>20</v>
      </c>
      <c r="AE86" s="21">
        <v>9.9518460000000003E-2</v>
      </c>
      <c r="AF86" t="s">
        <v>20</v>
      </c>
      <c r="AG86" s="21">
        <v>0.1002604</v>
      </c>
      <c r="AJ86" t="str">
        <f>VLOOKUP(Sheet1!W86,'알람 범위'!$D$2:$F$45,3,FALSE)</f>
        <v>12000</v>
      </c>
      <c r="AK86">
        <v>110</v>
      </c>
      <c r="AL86">
        <f t="shared" si="19"/>
        <v>12110</v>
      </c>
      <c r="AM86" t="str">
        <f t="shared" si="13"/>
        <v>CY_TRANSFER_ROBOT_OUT_P2_T_TURN</v>
      </c>
    </row>
    <row r="87" spans="1:39" x14ac:dyDescent="0.3">
      <c r="A87">
        <f t="shared" si="18"/>
        <v>12111</v>
      </c>
      <c r="B87" t="s">
        <v>20</v>
      </c>
      <c r="C87" t="s">
        <v>712</v>
      </c>
      <c r="D87" t="s">
        <v>20</v>
      </c>
      <c r="E87" t="s">
        <v>716</v>
      </c>
      <c r="F87" t="s">
        <v>20</v>
      </c>
      <c r="G87" t="s">
        <v>720</v>
      </c>
      <c r="H87" t="s">
        <v>20</v>
      </c>
      <c r="I87" t="s">
        <v>720</v>
      </c>
      <c r="J87" t="s">
        <v>20</v>
      </c>
      <c r="K87" t="s">
        <v>720</v>
      </c>
      <c r="L87" t="s">
        <v>20</v>
      </c>
      <c r="M87" t="s">
        <v>612</v>
      </c>
      <c r="N87" t="s">
        <v>20</v>
      </c>
      <c r="O87" t="s">
        <v>614</v>
      </c>
      <c r="P87" t="s">
        <v>20</v>
      </c>
      <c r="Q87" t="s">
        <v>614</v>
      </c>
      <c r="R87" t="s">
        <v>20</v>
      </c>
      <c r="S87" t="s">
        <v>614</v>
      </c>
      <c r="T87" t="s">
        <v>20</v>
      </c>
      <c r="U87" t="s">
        <v>21</v>
      </c>
      <c r="V87" t="s">
        <v>20</v>
      </c>
      <c r="W87" t="s">
        <v>338</v>
      </c>
      <c r="X87" t="s">
        <v>20</v>
      </c>
      <c r="Y87" t="s">
        <v>19</v>
      </c>
      <c r="Z87" t="s">
        <v>20</v>
      </c>
      <c r="AA87" s="21">
        <v>0.61637240000000004</v>
      </c>
      <c r="AB87" t="s">
        <v>20</v>
      </c>
      <c r="AC87" s="21">
        <v>0.421875</v>
      </c>
      <c r="AD87" t="s">
        <v>20</v>
      </c>
      <c r="AE87" s="21">
        <v>9.9518460000000003E-2</v>
      </c>
      <c r="AF87" t="s">
        <v>20</v>
      </c>
      <c r="AG87" s="21">
        <v>0.1002604</v>
      </c>
      <c r="AJ87" t="str">
        <f>VLOOKUP(Sheet1!W87,'알람 범위'!$D$2:$F$45,3,FALSE)</f>
        <v>12000</v>
      </c>
      <c r="AK87">
        <v>111</v>
      </c>
      <c r="AL87">
        <f t="shared" si="19"/>
        <v>12111</v>
      </c>
      <c r="AM87" t="str">
        <f t="shared" si="13"/>
        <v>CY_TRANSFER_ROBOT_OUT_P2_T_RETURN</v>
      </c>
    </row>
    <row r="88" spans="1:39" x14ac:dyDescent="0.3">
      <c r="A88">
        <f t="shared" si="16"/>
        <v>12120</v>
      </c>
      <c r="B88" t="s">
        <v>20</v>
      </c>
      <c r="C88" t="s">
        <v>344</v>
      </c>
      <c r="D88" t="s">
        <v>20</v>
      </c>
      <c r="E88" t="s">
        <v>357</v>
      </c>
      <c r="F88" t="s">
        <v>20</v>
      </c>
      <c r="G88" t="s">
        <v>371</v>
      </c>
      <c r="H88" t="s">
        <v>20</v>
      </c>
      <c r="I88" t="s">
        <v>371</v>
      </c>
      <c r="J88" t="s">
        <v>20</v>
      </c>
      <c r="K88" t="s">
        <v>371</v>
      </c>
      <c r="L88" t="s">
        <v>20</v>
      </c>
      <c r="M88" t="s">
        <v>380</v>
      </c>
      <c r="N88" t="s">
        <v>20</v>
      </c>
      <c r="O88" t="s">
        <v>384</v>
      </c>
      <c r="P88" t="s">
        <v>20</v>
      </c>
      <c r="Q88" t="s">
        <v>384</v>
      </c>
      <c r="R88" t="s">
        <v>20</v>
      </c>
      <c r="S88" t="s">
        <v>384</v>
      </c>
      <c r="T88" t="s">
        <v>20</v>
      </c>
      <c r="U88" t="s">
        <v>21</v>
      </c>
      <c r="V88" t="s">
        <v>20</v>
      </c>
      <c r="W88" t="s">
        <v>298</v>
      </c>
      <c r="X88" t="s">
        <v>20</v>
      </c>
      <c r="Y88" t="s">
        <v>19</v>
      </c>
      <c r="Z88" t="s">
        <v>20</v>
      </c>
      <c r="AA88" s="21">
        <v>0.73515249999999999</v>
      </c>
      <c r="AB88" t="s">
        <v>20</v>
      </c>
      <c r="AC88" s="21">
        <v>0.42317709999999997</v>
      </c>
      <c r="AD88" t="s">
        <v>20</v>
      </c>
      <c r="AE88" s="21">
        <v>9.6308190000000002E-2</v>
      </c>
      <c r="AF88" t="s">
        <v>20</v>
      </c>
      <c r="AG88" s="21">
        <v>9.6354159999999994E-2</v>
      </c>
      <c r="AJ88" t="str">
        <f>VLOOKUP(Sheet1!W88,'알람 범위'!$D$2:$F$45,3,FALSE)</f>
        <v>12000</v>
      </c>
      <c r="AK88">
        <v>120</v>
      </c>
      <c r="AL88">
        <f t="shared" si="17"/>
        <v>12120</v>
      </c>
      <c r="AM88" t="str">
        <f t="shared" si="13"/>
        <v>VC_TRANSFER_ROBOT_OUT_P1_VACUUM</v>
      </c>
    </row>
    <row r="89" spans="1:39" x14ac:dyDescent="0.3">
      <c r="A89">
        <f t="shared" si="16"/>
        <v>12121</v>
      </c>
      <c r="B89" t="s">
        <v>20</v>
      </c>
      <c r="C89" t="s">
        <v>792</v>
      </c>
      <c r="D89" t="s">
        <v>20</v>
      </c>
      <c r="E89" t="s">
        <v>358</v>
      </c>
      <c r="F89" t="s">
        <v>20</v>
      </c>
      <c r="G89" t="s">
        <v>372</v>
      </c>
      <c r="H89" t="s">
        <v>20</v>
      </c>
      <c r="I89" t="s">
        <v>372</v>
      </c>
      <c r="J89" t="s">
        <v>20</v>
      </c>
      <c r="K89" t="s">
        <v>372</v>
      </c>
      <c r="L89" t="s">
        <v>20</v>
      </c>
      <c r="M89" t="s">
        <v>380</v>
      </c>
      <c r="N89" t="s">
        <v>20</v>
      </c>
      <c r="O89" t="s">
        <v>384</v>
      </c>
      <c r="P89" t="s">
        <v>20</v>
      </c>
      <c r="Q89" t="s">
        <v>384</v>
      </c>
      <c r="R89" t="s">
        <v>20</v>
      </c>
      <c r="S89" t="s">
        <v>384</v>
      </c>
      <c r="T89" t="s">
        <v>20</v>
      </c>
      <c r="U89" t="s">
        <v>21</v>
      </c>
      <c r="V89" t="s">
        <v>20</v>
      </c>
      <c r="W89" t="s">
        <v>338</v>
      </c>
      <c r="X89" t="s">
        <v>20</v>
      </c>
      <c r="Y89" t="s">
        <v>19</v>
      </c>
      <c r="Z89" t="s">
        <v>20</v>
      </c>
      <c r="AA89" s="21">
        <v>0.73515249999999999</v>
      </c>
      <c r="AB89" t="s">
        <v>20</v>
      </c>
      <c r="AC89" s="21">
        <v>0.42317709999999997</v>
      </c>
      <c r="AD89" t="s">
        <v>20</v>
      </c>
      <c r="AE89" s="21">
        <v>9.6308190000000002E-2</v>
      </c>
      <c r="AF89" t="s">
        <v>20</v>
      </c>
      <c r="AG89" s="21">
        <v>9.6354159999999994E-2</v>
      </c>
      <c r="AJ89" t="str">
        <f>VLOOKUP(Sheet1!W89,'알람 범위'!$D$2:$F$45,3,FALSE)</f>
        <v>12000</v>
      </c>
      <c r="AK89">
        <v>121</v>
      </c>
      <c r="AL89">
        <f t="shared" si="17"/>
        <v>12121</v>
      </c>
      <c r="AM89" t="str">
        <f t="shared" si="13"/>
        <v>VC_TRANSFER_ROBOT_OUT_P1_BLOW</v>
      </c>
    </row>
    <row r="90" spans="1:39" x14ac:dyDescent="0.3">
      <c r="A90">
        <f t="shared" si="16"/>
        <v>12122</v>
      </c>
      <c r="B90" t="s">
        <v>20</v>
      </c>
      <c r="C90" t="s">
        <v>345</v>
      </c>
      <c r="D90" t="s">
        <v>20</v>
      </c>
      <c r="E90" t="s">
        <v>359</v>
      </c>
      <c r="F90" t="s">
        <v>20</v>
      </c>
      <c r="G90" t="s">
        <v>373</v>
      </c>
      <c r="H90" t="s">
        <v>20</v>
      </c>
      <c r="I90" t="s">
        <v>373</v>
      </c>
      <c r="J90" t="s">
        <v>20</v>
      </c>
      <c r="K90" t="s">
        <v>373</v>
      </c>
      <c r="L90" t="s">
        <v>20</v>
      </c>
      <c r="M90" t="s">
        <v>381</v>
      </c>
      <c r="N90" t="s">
        <v>20</v>
      </c>
      <c r="O90" t="s">
        <v>385</v>
      </c>
      <c r="P90" t="s">
        <v>20</v>
      </c>
      <c r="Q90" t="s">
        <v>385</v>
      </c>
      <c r="R90" t="s">
        <v>20</v>
      </c>
      <c r="S90" t="s">
        <v>385</v>
      </c>
      <c r="T90" t="s">
        <v>20</v>
      </c>
      <c r="U90" t="s">
        <v>21</v>
      </c>
      <c r="V90" t="s">
        <v>20</v>
      </c>
      <c r="W90" t="s">
        <v>338</v>
      </c>
      <c r="X90" t="s">
        <v>20</v>
      </c>
      <c r="Y90" t="s">
        <v>19</v>
      </c>
      <c r="Z90" t="s">
        <v>20</v>
      </c>
      <c r="AA90" s="21">
        <v>0.73515249999999999</v>
      </c>
      <c r="AB90" t="s">
        <v>20</v>
      </c>
      <c r="AC90" s="21">
        <v>0.42317709999999997</v>
      </c>
      <c r="AD90" t="s">
        <v>20</v>
      </c>
      <c r="AE90" s="21">
        <v>9.6308190000000002E-2</v>
      </c>
      <c r="AF90" t="s">
        <v>20</v>
      </c>
      <c r="AG90" s="21">
        <v>9.6354159999999994E-2</v>
      </c>
      <c r="AJ90" t="str">
        <f>VLOOKUP(Sheet1!W90,'알람 범위'!$D$2:$F$45,3,FALSE)</f>
        <v>12000</v>
      </c>
      <c r="AK90">
        <v>122</v>
      </c>
      <c r="AL90">
        <f t="shared" si="17"/>
        <v>12122</v>
      </c>
      <c r="AM90" t="str">
        <f t="shared" si="13"/>
        <v>SE_TRANSFER_ROBOT_OUT_P1_VACUUM_CHECK</v>
      </c>
    </row>
    <row r="91" spans="1:39" x14ac:dyDescent="0.3">
      <c r="A91">
        <f t="shared" si="16"/>
        <v>12123</v>
      </c>
      <c r="B91" t="s">
        <v>20</v>
      </c>
      <c r="C91" t="s">
        <v>346</v>
      </c>
      <c r="D91" t="s">
        <v>20</v>
      </c>
      <c r="E91" t="s">
        <v>360</v>
      </c>
      <c r="F91" t="s">
        <v>20</v>
      </c>
      <c r="G91" t="s">
        <v>374</v>
      </c>
      <c r="H91" t="s">
        <v>20</v>
      </c>
      <c r="I91" t="s">
        <v>374</v>
      </c>
      <c r="J91" t="s">
        <v>20</v>
      </c>
      <c r="K91" t="s">
        <v>374</v>
      </c>
      <c r="L91" t="s">
        <v>20</v>
      </c>
      <c r="M91" t="s">
        <v>382</v>
      </c>
      <c r="N91" t="s">
        <v>20</v>
      </c>
      <c r="O91" t="s">
        <v>386</v>
      </c>
      <c r="P91" t="s">
        <v>20</v>
      </c>
      <c r="Q91" t="s">
        <v>386</v>
      </c>
      <c r="R91" t="s">
        <v>20</v>
      </c>
      <c r="S91" t="s">
        <v>386</v>
      </c>
      <c r="T91" t="s">
        <v>20</v>
      </c>
      <c r="U91" t="s">
        <v>21</v>
      </c>
      <c r="V91" t="s">
        <v>20</v>
      </c>
      <c r="W91" t="s">
        <v>338</v>
      </c>
      <c r="X91" t="s">
        <v>20</v>
      </c>
      <c r="Y91" t="s">
        <v>19</v>
      </c>
      <c r="Z91" t="s">
        <v>20</v>
      </c>
      <c r="AA91" s="21">
        <v>0.73515249999999999</v>
      </c>
      <c r="AB91" t="s">
        <v>20</v>
      </c>
      <c r="AC91" s="21">
        <v>0.42317709999999997</v>
      </c>
      <c r="AD91" t="s">
        <v>20</v>
      </c>
      <c r="AE91" s="21">
        <v>9.6308190000000002E-2</v>
      </c>
      <c r="AF91" t="s">
        <v>20</v>
      </c>
      <c r="AG91" s="21">
        <v>9.6354159999999994E-2</v>
      </c>
      <c r="AJ91" t="str">
        <f>VLOOKUP(Sheet1!W91,'알람 범위'!$D$2:$F$45,3,FALSE)</f>
        <v>12000</v>
      </c>
      <c r="AK91">
        <v>123</v>
      </c>
      <c r="AL91">
        <f t="shared" si="17"/>
        <v>12123</v>
      </c>
      <c r="AM91" t="str">
        <f t="shared" si="13"/>
        <v>SE_TRANSFER_ROBOT_OUT_P1_SENSOR_CHECK</v>
      </c>
    </row>
    <row r="92" spans="1:39" x14ac:dyDescent="0.3">
      <c r="A92">
        <f t="shared" si="16"/>
        <v>12124</v>
      </c>
      <c r="B92" t="s">
        <v>20</v>
      </c>
      <c r="C92" t="s">
        <v>347</v>
      </c>
      <c r="D92" t="s">
        <v>20</v>
      </c>
      <c r="E92" t="s">
        <v>361</v>
      </c>
      <c r="F92" t="s">
        <v>20</v>
      </c>
      <c r="G92" t="s">
        <v>375</v>
      </c>
      <c r="H92" t="s">
        <v>20</v>
      </c>
      <c r="I92" t="s">
        <v>375</v>
      </c>
      <c r="J92" t="s">
        <v>20</v>
      </c>
      <c r="K92" t="s">
        <v>375</v>
      </c>
      <c r="L92" t="s">
        <v>20</v>
      </c>
      <c r="M92" t="s">
        <v>381</v>
      </c>
      <c r="N92" t="s">
        <v>20</v>
      </c>
      <c r="O92" t="s">
        <v>385</v>
      </c>
      <c r="P92" t="s">
        <v>20</v>
      </c>
      <c r="Q92" t="s">
        <v>385</v>
      </c>
      <c r="R92" t="s">
        <v>20</v>
      </c>
      <c r="S92" t="s">
        <v>385</v>
      </c>
      <c r="T92" t="s">
        <v>20</v>
      </c>
      <c r="U92" t="s">
        <v>21</v>
      </c>
      <c r="V92" t="s">
        <v>20</v>
      </c>
      <c r="W92" t="s">
        <v>338</v>
      </c>
      <c r="X92" t="s">
        <v>20</v>
      </c>
      <c r="Y92" t="s">
        <v>19</v>
      </c>
      <c r="Z92" t="s">
        <v>20</v>
      </c>
      <c r="AA92" s="21">
        <v>0.73515249999999999</v>
      </c>
      <c r="AB92" t="s">
        <v>20</v>
      </c>
      <c r="AC92" s="21">
        <v>0.42317709999999997</v>
      </c>
      <c r="AD92" t="s">
        <v>20</v>
      </c>
      <c r="AE92" s="21">
        <v>9.6308190000000002E-2</v>
      </c>
      <c r="AF92" t="s">
        <v>20</v>
      </c>
      <c r="AG92" s="21">
        <v>9.6354159999999994E-2</v>
      </c>
      <c r="AJ92" t="str">
        <f>VLOOKUP(Sheet1!W92,'알람 범위'!$D$2:$F$45,3,FALSE)</f>
        <v>12000</v>
      </c>
      <c r="AK92">
        <v>124</v>
      </c>
      <c r="AL92">
        <f t="shared" si="17"/>
        <v>12124</v>
      </c>
      <c r="AM92" t="str">
        <f t="shared" si="13"/>
        <v>SE_TRANSFER_ROBOT_OUT_P1_VACUUM_OVERLAP</v>
      </c>
    </row>
    <row r="93" spans="1:39" x14ac:dyDescent="0.3">
      <c r="A93">
        <f t="shared" si="16"/>
        <v>12125</v>
      </c>
      <c r="B93" t="s">
        <v>20</v>
      </c>
      <c r="C93" t="s">
        <v>348</v>
      </c>
      <c r="D93" t="s">
        <v>20</v>
      </c>
      <c r="E93" t="s">
        <v>362</v>
      </c>
      <c r="F93" t="s">
        <v>20</v>
      </c>
      <c r="G93" t="s">
        <v>376</v>
      </c>
      <c r="H93" t="s">
        <v>20</v>
      </c>
      <c r="I93" t="s">
        <v>376</v>
      </c>
      <c r="J93" t="s">
        <v>20</v>
      </c>
      <c r="K93" t="s">
        <v>376</v>
      </c>
      <c r="L93" t="s">
        <v>20</v>
      </c>
      <c r="M93" t="s">
        <v>382</v>
      </c>
      <c r="N93" t="s">
        <v>20</v>
      </c>
      <c r="O93" t="s">
        <v>386</v>
      </c>
      <c r="P93" t="s">
        <v>20</v>
      </c>
      <c r="Q93" t="s">
        <v>386</v>
      </c>
      <c r="R93" t="s">
        <v>20</v>
      </c>
      <c r="S93" t="s">
        <v>386</v>
      </c>
      <c r="T93" t="s">
        <v>20</v>
      </c>
      <c r="U93" t="s">
        <v>21</v>
      </c>
      <c r="V93" t="s">
        <v>20</v>
      </c>
      <c r="W93" t="s">
        <v>338</v>
      </c>
      <c r="X93" t="s">
        <v>20</v>
      </c>
      <c r="Y93" t="s">
        <v>19</v>
      </c>
      <c r="Z93" t="s">
        <v>20</v>
      </c>
      <c r="AA93" s="21">
        <v>0.73515249999999999</v>
      </c>
      <c r="AB93" t="s">
        <v>20</v>
      </c>
      <c r="AC93" s="21">
        <v>0.42317709999999997</v>
      </c>
      <c r="AD93" t="s">
        <v>20</v>
      </c>
      <c r="AE93" s="21">
        <v>9.6308190000000002E-2</v>
      </c>
      <c r="AF93" t="s">
        <v>20</v>
      </c>
      <c r="AG93" s="21">
        <v>9.6354159999999994E-2</v>
      </c>
      <c r="AJ93" t="str">
        <f>VLOOKUP(Sheet1!W93,'알람 범위'!$D$2:$F$45,3,FALSE)</f>
        <v>12000</v>
      </c>
      <c r="AK93">
        <v>125</v>
      </c>
      <c r="AL93">
        <f t="shared" si="17"/>
        <v>12125</v>
      </c>
      <c r="AM93" t="str">
        <f t="shared" si="13"/>
        <v>SE_TRANSFER_ROBOT_OUT_P1_SENSOR_OVERLAP</v>
      </c>
    </row>
    <row r="94" spans="1:39" x14ac:dyDescent="0.3">
      <c r="A94">
        <f t="shared" ref="A94:A99" si="20">AL94</f>
        <v>12130</v>
      </c>
      <c r="B94" t="s">
        <v>20</v>
      </c>
      <c r="C94" t="s">
        <v>546</v>
      </c>
      <c r="D94" t="s">
        <v>20</v>
      </c>
      <c r="E94" t="s">
        <v>547</v>
      </c>
      <c r="F94" t="s">
        <v>20</v>
      </c>
      <c r="G94" t="s">
        <v>548</v>
      </c>
      <c r="H94" t="s">
        <v>20</v>
      </c>
      <c r="I94" t="s">
        <v>548</v>
      </c>
      <c r="J94" t="s">
        <v>20</v>
      </c>
      <c r="K94" t="s">
        <v>548</v>
      </c>
      <c r="L94" t="s">
        <v>20</v>
      </c>
      <c r="M94" t="s">
        <v>549</v>
      </c>
      <c r="N94" t="s">
        <v>20</v>
      </c>
      <c r="O94" t="s">
        <v>550</v>
      </c>
      <c r="P94" t="s">
        <v>20</v>
      </c>
      <c r="Q94" t="s">
        <v>550</v>
      </c>
      <c r="R94" t="s">
        <v>20</v>
      </c>
      <c r="S94" t="s">
        <v>550</v>
      </c>
      <c r="T94" t="s">
        <v>20</v>
      </c>
      <c r="U94" t="s">
        <v>21</v>
      </c>
      <c r="V94" t="s">
        <v>20</v>
      </c>
      <c r="W94" t="s">
        <v>298</v>
      </c>
      <c r="X94" t="s">
        <v>20</v>
      </c>
      <c r="Y94" t="s">
        <v>19</v>
      </c>
      <c r="Z94" t="s">
        <v>20</v>
      </c>
      <c r="AA94" s="21">
        <v>0.61637240000000004</v>
      </c>
      <c r="AB94" t="s">
        <v>20</v>
      </c>
      <c r="AC94" s="21">
        <v>0.421875</v>
      </c>
      <c r="AD94" t="s">
        <v>20</v>
      </c>
      <c r="AE94" s="21">
        <v>9.9518460000000003E-2</v>
      </c>
      <c r="AF94" t="s">
        <v>20</v>
      </c>
      <c r="AG94" s="21">
        <v>0.1002604</v>
      </c>
      <c r="AJ94" t="str">
        <f>VLOOKUP(Sheet1!W94,'알람 범위'!$D$2:$F$45,3,FALSE)</f>
        <v>12000</v>
      </c>
      <c r="AK94">
        <v>130</v>
      </c>
      <c r="AL94">
        <f t="shared" ref="AL94:AL99" si="21">AJ94+AK94</f>
        <v>12130</v>
      </c>
      <c r="AM94" t="str">
        <f t="shared" si="13"/>
        <v>VC_TRANSFER_ROBOT_OUT_P2_VACUUM</v>
      </c>
    </row>
    <row r="95" spans="1:39" x14ac:dyDescent="0.3">
      <c r="A95">
        <f t="shared" si="20"/>
        <v>12131</v>
      </c>
      <c r="B95" t="s">
        <v>20</v>
      </c>
      <c r="C95" t="s">
        <v>551</v>
      </c>
      <c r="D95" t="s">
        <v>20</v>
      </c>
      <c r="E95" t="s">
        <v>552</v>
      </c>
      <c r="F95" t="s">
        <v>20</v>
      </c>
      <c r="G95" t="s">
        <v>553</v>
      </c>
      <c r="H95" t="s">
        <v>20</v>
      </c>
      <c r="I95" t="s">
        <v>553</v>
      </c>
      <c r="J95" t="s">
        <v>20</v>
      </c>
      <c r="K95" t="s">
        <v>553</v>
      </c>
      <c r="L95" t="s">
        <v>20</v>
      </c>
      <c r="M95" t="s">
        <v>549</v>
      </c>
      <c r="N95" t="s">
        <v>20</v>
      </c>
      <c r="O95" t="s">
        <v>550</v>
      </c>
      <c r="P95" t="s">
        <v>20</v>
      </c>
      <c r="Q95" t="s">
        <v>550</v>
      </c>
      <c r="R95" t="s">
        <v>20</v>
      </c>
      <c r="S95" t="s">
        <v>550</v>
      </c>
      <c r="T95" t="s">
        <v>20</v>
      </c>
      <c r="U95" t="s">
        <v>21</v>
      </c>
      <c r="V95" t="s">
        <v>20</v>
      </c>
      <c r="W95" t="s">
        <v>298</v>
      </c>
      <c r="X95" t="s">
        <v>20</v>
      </c>
      <c r="Y95" t="s">
        <v>19</v>
      </c>
      <c r="Z95" t="s">
        <v>20</v>
      </c>
      <c r="AA95" s="21">
        <v>0.61637240000000004</v>
      </c>
      <c r="AB95" t="s">
        <v>20</v>
      </c>
      <c r="AC95" s="21">
        <v>0.421875</v>
      </c>
      <c r="AD95" t="s">
        <v>20</v>
      </c>
      <c r="AE95" s="21">
        <v>9.9518460000000003E-2</v>
      </c>
      <c r="AF95" t="s">
        <v>20</v>
      </c>
      <c r="AG95" s="21">
        <v>0.1002604</v>
      </c>
      <c r="AJ95" t="str">
        <f>VLOOKUP(Sheet1!W95,'알람 범위'!$D$2:$F$45,3,FALSE)</f>
        <v>12000</v>
      </c>
      <c r="AK95">
        <v>131</v>
      </c>
      <c r="AL95">
        <f t="shared" si="21"/>
        <v>12131</v>
      </c>
      <c r="AM95" t="str">
        <f t="shared" si="13"/>
        <v>VC_TRANSFER_ROBOT_OUT_P2_BLOW</v>
      </c>
    </row>
    <row r="96" spans="1:39" x14ac:dyDescent="0.3">
      <c r="A96">
        <f t="shared" si="20"/>
        <v>12132</v>
      </c>
      <c r="B96" t="s">
        <v>20</v>
      </c>
      <c r="C96" t="s">
        <v>554</v>
      </c>
      <c r="D96" t="s">
        <v>20</v>
      </c>
      <c r="E96" t="s">
        <v>555</v>
      </c>
      <c r="F96" t="s">
        <v>20</v>
      </c>
      <c r="G96" t="s">
        <v>556</v>
      </c>
      <c r="H96" t="s">
        <v>20</v>
      </c>
      <c r="I96" t="s">
        <v>556</v>
      </c>
      <c r="J96" t="s">
        <v>20</v>
      </c>
      <c r="K96" t="s">
        <v>556</v>
      </c>
      <c r="L96" t="s">
        <v>20</v>
      </c>
      <c r="M96" t="s">
        <v>557</v>
      </c>
      <c r="N96" t="s">
        <v>20</v>
      </c>
      <c r="O96" t="s">
        <v>558</v>
      </c>
      <c r="P96" t="s">
        <v>20</v>
      </c>
      <c r="Q96" t="s">
        <v>558</v>
      </c>
      <c r="R96" t="s">
        <v>20</v>
      </c>
      <c r="S96" t="s">
        <v>558</v>
      </c>
      <c r="T96" t="s">
        <v>20</v>
      </c>
      <c r="U96" t="s">
        <v>21</v>
      </c>
      <c r="V96" t="s">
        <v>20</v>
      </c>
      <c r="W96" t="s">
        <v>298</v>
      </c>
      <c r="X96" t="s">
        <v>20</v>
      </c>
      <c r="Y96" t="s">
        <v>19</v>
      </c>
      <c r="Z96" t="s">
        <v>20</v>
      </c>
      <c r="AA96" s="21">
        <v>0.61637240000000004</v>
      </c>
      <c r="AB96" t="s">
        <v>20</v>
      </c>
      <c r="AC96" s="21">
        <v>0.421875</v>
      </c>
      <c r="AD96" t="s">
        <v>20</v>
      </c>
      <c r="AE96" s="21">
        <v>9.9518460000000003E-2</v>
      </c>
      <c r="AF96" t="s">
        <v>20</v>
      </c>
      <c r="AG96" s="21">
        <v>0.1002604</v>
      </c>
      <c r="AJ96" t="str">
        <f>VLOOKUP(Sheet1!W96,'알람 범위'!$D$2:$F$45,3,FALSE)</f>
        <v>12000</v>
      </c>
      <c r="AK96">
        <v>132</v>
      </c>
      <c r="AL96">
        <f t="shared" si="21"/>
        <v>12132</v>
      </c>
      <c r="AM96" t="str">
        <f t="shared" si="13"/>
        <v>SE_TRANSFER_ROBOT_OUT_P2_VACUUM_CHECK</v>
      </c>
    </row>
    <row r="97" spans="1:39" x14ac:dyDescent="0.3">
      <c r="A97">
        <f t="shared" si="20"/>
        <v>12133</v>
      </c>
      <c r="B97" t="s">
        <v>20</v>
      </c>
      <c r="C97" t="s">
        <v>559</v>
      </c>
      <c r="D97" t="s">
        <v>20</v>
      </c>
      <c r="E97" t="s">
        <v>560</v>
      </c>
      <c r="F97" t="s">
        <v>20</v>
      </c>
      <c r="G97" t="s">
        <v>561</v>
      </c>
      <c r="H97" t="s">
        <v>20</v>
      </c>
      <c r="I97" t="s">
        <v>561</v>
      </c>
      <c r="J97" t="s">
        <v>20</v>
      </c>
      <c r="K97" t="s">
        <v>561</v>
      </c>
      <c r="L97" t="s">
        <v>20</v>
      </c>
      <c r="M97" t="s">
        <v>562</v>
      </c>
      <c r="N97" t="s">
        <v>20</v>
      </c>
      <c r="O97" t="s">
        <v>563</v>
      </c>
      <c r="P97" t="s">
        <v>20</v>
      </c>
      <c r="Q97" t="s">
        <v>563</v>
      </c>
      <c r="R97" t="s">
        <v>20</v>
      </c>
      <c r="S97" t="s">
        <v>563</v>
      </c>
      <c r="T97" t="s">
        <v>20</v>
      </c>
      <c r="U97" t="s">
        <v>21</v>
      </c>
      <c r="V97" t="s">
        <v>20</v>
      </c>
      <c r="W97" t="s">
        <v>298</v>
      </c>
      <c r="X97" t="s">
        <v>20</v>
      </c>
      <c r="Y97" t="s">
        <v>19</v>
      </c>
      <c r="Z97" t="s">
        <v>20</v>
      </c>
      <c r="AA97" s="21">
        <v>0.61637240000000004</v>
      </c>
      <c r="AB97" t="s">
        <v>20</v>
      </c>
      <c r="AC97" s="21">
        <v>0.421875</v>
      </c>
      <c r="AD97" t="s">
        <v>20</v>
      </c>
      <c r="AE97" s="21">
        <v>9.9518460000000003E-2</v>
      </c>
      <c r="AF97" t="s">
        <v>20</v>
      </c>
      <c r="AG97" s="21">
        <v>0.1002604</v>
      </c>
      <c r="AJ97" t="str">
        <f>VLOOKUP(Sheet1!W97,'알람 범위'!$D$2:$F$45,3,FALSE)</f>
        <v>12000</v>
      </c>
      <c r="AK97">
        <v>133</v>
      </c>
      <c r="AL97">
        <f t="shared" si="21"/>
        <v>12133</v>
      </c>
      <c r="AM97" t="str">
        <f t="shared" si="13"/>
        <v>SE_TRANSFER_ROBOT_OUT_P2_SENSOR_CHECK</v>
      </c>
    </row>
    <row r="98" spans="1:39" x14ac:dyDescent="0.3">
      <c r="A98">
        <f t="shared" si="20"/>
        <v>12134</v>
      </c>
      <c r="B98" t="s">
        <v>20</v>
      </c>
      <c r="C98" t="s">
        <v>564</v>
      </c>
      <c r="D98" t="s">
        <v>20</v>
      </c>
      <c r="E98" t="s">
        <v>565</v>
      </c>
      <c r="F98" t="s">
        <v>20</v>
      </c>
      <c r="G98" t="s">
        <v>566</v>
      </c>
      <c r="H98" t="s">
        <v>20</v>
      </c>
      <c r="I98" t="s">
        <v>566</v>
      </c>
      <c r="J98" t="s">
        <v>20</v>
      </c>
      <c r="K98" t="s">
        <v>566</v>
      </c>
      <c r="L98" t="s">
        <v>20</v>
      </c>
      <c r="M98" t="s">
        <v>557</v>
      </c>
      <c r="N98" t="s">
        <v>20</v>
      </c>
      <c r="O98" t="s">
        <v>558</v>
      </c>
      <c r="P98" t="s">
        <v>20</v>
      </c>
      <c r="Q98" t="s">
        <v>558</v>
      </c>
      <c r="R98" t="s">
        <v>20</v>
      </c>
      <c r="S98" t="s">
        <v>558</v>
      </c>
      <c r="T98" t="s">
        <v>20</v>
      </c>
      <c r="U98" t="s">
        <v>21</v>
      </c>
      <c r="V98" t="s">
        <v>20</v>
      </c>
      <c r="W98" t="s">
        <v>298</v>
      </c>
      <c r="X98" t="s">
        <v>20</v>
      </c>
      <c r="Y98" t="s">
        <v>19</v>
      </c>
      <c r="Z98" t="s">
        <v>20</v>
      </c>
      <c r="AA98" s="21">
        <v>0.61637240000000004</v>
      </c>
      <c r="AB98" t="s">
        <v>20</v>
      </c>
      <c r="AC98" s="21">
        <v>0.421875</v>
      </c>
      <c r="AD98" t="s">
        <v>20</v>
      </c>
      <c r="AE98" s="21">
        <v>9.9518460000000003E-2</v>
      </c>
      <c r="AF98" t="s">
        <v>20</v>
      </c>
      <c r="AG98" s="21">
        <v>0.1002604</v>
      </c>
      <c r="AJ98" t="str">
        <f>VLOOKUP(Sheet1!W98,'알람 범위'!$D$2:$F$45,3,FALSE)</f>
        <v>12000</v>
      </c>
      <c r="AK98">
        <v>134</v>
      </c>
      <c r="AL98">
        <f t="shared" si="21"/>
        <v>12134</v>
      </c>
      <c r="AM98" t="str">
        <f t="shared" si="13"/>
        <v>SE_TRANSFER_ROBOT_OUT_P2_VACUUM_OVERLAP</v>
      </c>
    </row>
    <row r="99" spans="1:39" x14ac:dyDescent="0.3">
      <c r="A99">
        <f t="shared" si="20"/>
        <v>12135</v>
      </c>
      <c r="B99" t="s">
        <v>20</v>
      </c>
      <c r="C99" t="s">
        <v>567</v>
      </c>
      <c r="D99" t="s">
        <v>20</v>
      </c>
      <c r="E99" t="s">
        <v>568</v>
      </c>
      <c r="F99" t="s">
        <v>20</v>
      </c>
      <c r="G99" t="s">
        <v>569</v>
      </c>
      <c r="H99" t="s">
        <v>20</v>
      </c>
      <c r="I99" t="s">
        <v>569</v>
      </c>
      <c r="J99" t="s">
        <v>20</v>
      </c>
      <c r="K99" t="s">
        <v>569</v>
      </c>
      <c r="L99" t="s">
        <v>20</v>
      </c>
      <c r="M99" t="s">
        <v>562</v>
      </c>
      <c r="N99" t="s">
        <v>20</v>
      </c>
      <c r="O99" t="s">
        <v>563</v>
      </c>
      <c r="P99" t="s">
        <v>20</v>
      </c>
      <c r="Q99" t="s">
        <v>563</v>
      </c>
      <c r="R99" t="s">
        <v>20</v>
      </c>
      <c r="S99" t="s">
        <v>563</v>
      </c>
      <c r="T99" t="s">
        <v>20</v>
      </c>
      <c r="U99" t="s">
        <v>21</v>
      </c>
      <c r="V99" t="s">
        <v>20</v>
      </c>
      <c r="W99" t="s">
        <v>298</v>
      </c>
      <c r="X99" t="s">
        <v>20</v>
      </c>
      <c r="Y99" t="s">
        <v>19</v>
      </c>
      <c r="Z99" t="s">
        <v>20</v>
      </c>
      <c r="AA99" s="21">
        <v>0.61637240000000004</v>
      </c>
      <c r="AB99" t="s">
        <v>20</v>
      </c>
      <c r="AC99" s="21">
        <v>0.421875</v>
      </c>
      <c r="AD99" t="s">
        <v>20</v>
      </c>
      <c r="AE99" s="21">
        <v>9.9518460000000003E-2</v>
      </c>
      <c r="AF99" t="s">
        <v>20</v>
      </c>
      <c r="AG99" s="21">
        <v>0.1002604</v>
      </c>
      <c r="AJ99" t="str">
        <f>VLOOKUP(Sheet1!W99,'알람 범위'!$D$2:$F$45,3,FALSE)</f>
        <v>12000</v>
      </c>
      <c r="AK99">
        <v>135</v>
      </c>
      <c r="AL99">
        <f t="shared" si="21"/>
        <v>12135</v>
      </c>
      <c r="AM99" t="str">
        <f t="shared" si="13"/>
        <v>SE_TRANSFER_ROBOT_OUT_P2_SENSOR_OVERLAP</v>
      </c>
    </row>
    <row r="100" spans="1:39" x14ac:dyDescent="0.3">
      <c r="A100">
        <f t="shared" si="16"/>
        <v>12400</v>
      </c>
      <c r="B100" t="s">
        <v>20</v>
      </c>
      <c r="C100" t="s">
        <v>349</v>
      </c>
      <c r="D100" t="s">
        <v>20</v>
      </c>
      <c r="E100" t="s">
        <v>363</v>
      </c>
      <c r="F100" t="s">
        <v>20</v>
      </c>
      <c r="G100" t="s">
        <v>377</v>
      </c>
      <c r="H100" t="s">
        <v>20</v>
      </c>
      <c r="I100" t="s">
        <v>377</v>
      </c>
      <c r="J100" t="s">
        <v>20</v>
      </c>
      <c r="K100" t="s">
        <v>377</v>
      </c>
      <c r="L100" t="s">
        <v>20</v>
      </c>
      <c r="M100" t="s">
        <v>379</v>
      </c>
      <c r="N100" t="s">
        <v>20</v>
      </c>
      <c r="O100" t="s">
        <v>383</v>
      </c>
      <c r="P100" t="s">
        <v>20</v>
      </c>
      <c r="Q100" t="s">
        <v>383</v>
      </c>
      <c r="R100" t="s">
        <v>20</v>
      </c>
      <c r="S100" t="s">
        <v>383</v>
      </c>
      <c r="T100" t="s">
        <v>20</v>
      </c>
      <c r="U100" t="s">
        <v>21</v>
      </c>
      <c r="V100" t="s">
        <v>20</v>
      </c>
      <c r="W100" t="s">
        <v>338</v>
      </c>
      <c r="X100" t="s">
        <v>20</v>
      </c>
      <c r="Y100" t="s">
        <v>19</v>
      </c>
      <c r="Z100" t="s">
        <v>20</v>
      </c>
      <c r="AA100" s="21">
        <v>0.61476730000000002</v>
      </c>
      <c r="AB100" t="s">
        <v>20</v>
      </c>
      <c r="AC100" s="21">
        <v>0.25911459999999997</v>
      </c>
      <c r="AD100" t="s">
        <v>20</v>
      </c>
      <c r="AE100" s="21">
        <v>0.22311400000000001</v>
      </c>
      <c r="AF100" t="s">
        <v>20</v>
      </c>
      <c r="AG100" s="21">
        <v>0.26432290000000003</v>
      </c>
      <c r="AJ100" t="str">
        <f>VLOOKUP(Sheet1!W100,'알람 범위'!$D$2:$F$45,3,FALSE)</f>
        <v>12000</v>
      </c>
      <c r="AK100">
        <v>400</v>
      </c>
      <c r="AL100">
        <f t="shared" si="17"/>
        <v>12400</v>
      </c>
      <c r="AM100" t="str">
        <f t="shared" si="13"/>
        <v>CO_TRANSFER_ROBOT_OUT_ALIGN_DATA</v>
      </c>
    </row>
    <row r="101" spans="1:39" x14ac:dyDescent="0.3">
      <c r="A101">
        <f t="shared" si="16"/>
        <v>12401</v>
      </c>
      <c r="B101" t="s">
        <v>20</v>
      </c>
      <c r="C101" t="s">
        <v>350</v>
      </c>
      <c r="D101" t="s">
        <v>20</v>
      </c>
      <c r="E101" t="s">
        <v>364</v>
      </c>
      <c r="F101" t="s">
        <v>20</v>
      </c>
      <c r="G101" t="s">
        <v>210</v>
      </c>
      <c r="H101" t="s">
        <v>20</v>
      </c>
      <c r="I101" t="s">
        <v>210</v>
      </c>
      <c r="J101" t="s">
        <v>20</v>
      </c>
      <c r="K101" t="s">
        <v>210</v>
      </c>
      <c r="L101" t="s">
        <v>20</v>
      </c>
      <c r="M101" t="s">
        <v>379</v>
      </c>
      <c r="N101" t="s">
        <v>20</v>
      </c>
      <c r="O101" t="s">
        <v>383</v>
      </c>
      <c r="P101" t="s">
        <v>20</v>
      </c>
      <c r="Q101" t="s">
        <v>383</v>
      </c>
      <c r="R101" t="s">
        <v>20</v>
      </c>
      <c r="S101" t="s">
        <v>383</v>
      </c>
      <c r="T101" t="s">
        <v>20</v>
      </c>
      <c r="U101" t="s">
        <v>21</v>
      </c>
      <c r="V101" t="s">
        <v>20</v>
      </c>
      <c r="W101" t="s">
        <v>338</v>
      </c>
      <c r="X101" t="s">
        <v>20</v>
      </c>
      <c r="Y101" t="s">
        <v>19</v>
      </c>
      <c r="Z101" t="s">
        <v>20</v>
      </c>
      <c r="AA101" s="21">
        <v>0.61476730000000002</v>
      </c>
      <c r="AB101" t="s">
        <v>20</v>
      </c>
      <c r="AC101" s="21">
        <v>0.25911459999999997</v>
      </c>
      <c r="AD101" t="s">
        <v>20</v>
      </c>
      <c r="AE101" s="21">
        <v>0.22311400000000001</v>
      </c>
      <c r="AF101" t="s">
        <v>20</v>
      </c>
      <c r="AG101" s="21">
        <v>0.26432290000000003</v>
      </c>
      <c r="AJ101" t="str">
        <f>VLOOKUP(Sheet1!W101,'알람 범위'!$D$2:$F$45,3,FALSE)</f>
        <v>12000</v>
      </c>
      <c r="AK101">
        <v>401</v>
      </c>
      <c r="AL101">
        <f t="shared" si="17"/>
        <v>12401</v>
      </c>
      <c r="AM101" t="str">
        <f t="shared" si="13"/>
        <v>CO_TRANSFER_ROBOT_OUT_RESET_DATA</v>
      </c>
    </row>
    <row r="102" spans="1:39" x14ac:dyDescent="0.3">
      <c r="A102">
        <f t="shared" si="16"/>
        <v>12402</v>
      </c>
      <c r="B102" t="s">
        <v>20</v>
      </c>
      <c r="C102" t="s">
        <v>351</v>
      </c>
      <c r="D102" t="s">
        <v>20</v>
      </c>
      <c r="E102" t="s">
        <v>365</v>
      </c>
      <c r="F102" t="s">
        <v>20</v>
      </c>
      <c r="G102" t="s">
        <v>378</v>
      </c>
      <c r="H102" t="s">
        <v>20</v>
      </c>
      <c r="I102" t="s">
        <v>378</v>
      </c>
      <c r="J102" t="s">
        <v>20</v>
      </c>
      <c r="K102" t="s">
        <v>378</v>
      </c>
      <c r="L102" t="s">
        <v>20</v>
      </c>
      <c r="M102" t="s">
        <v>379</v>
      </c>
      <c r="N102" t="s">
        <v>20</v>
      </c>
      <c r="O102" t="s">
        <v>383</v>
      </c>
      <c r="P102" t="s">
        <v>20</v>
      </c>
      <c r="Q102" t="s">
        <v>383</v>
      </c>
      <c r="R102" t="s">
        <v>20</v>
      </c>
      <c r="S102" t="s">
        <v>383</v>
      </c>
      <c r="T102" t="s">
        <v>20</v>
      </c>
      <c r="U102" t="s">
        <v>21</v>
      </c>
      <c r="V102" t="s">
        <v>20</v>
      </c>
      <c r="W102" t="s">
        <v>338</v>
      </c>
      <c r="X102" t="s">
        <v>20</v>
      </c>
      <c r="Y102" t="s">
        <v>19</v>
      </c>
      <c r="Z102" t="s">
        <v>20</v>
      </c>
      <c r="AA102" s="21">
        <v>0.61476730000000002</v>
      </c>
      <c r="AB102" t="s">
        <v>20</v>
      </c>
      <c r="AC102" s="21">
        <v>0.25911459999999997</v>
      </c>
      <c r="AD102" t="s">
        <v>20</v>
      </c>
      <c r="AE102" s="21">
        <v>0.22311400000000001</v>
      </c>
      <c r="AF102" t="s">
        <v>20</v>
      </c>
      <c r="AG102" s="21">
        <v>0.26432290000000003</v>
      </c>
      <c r="AJ102" t="str">
        <f>VLOOKUP(Sheet1!W102,'알람 범위'!$D$2:$F$45,3,FALSE)</f>
        <v>12000</v>
      </c>
      <c r="AK102">
        <v>402</v>
      </c>
      <c r="AL102">
        <f t="shared" si="17"/>
        <v>12402</v>
      </c>
      <c r="AM102" t="str">
        <f t="shared" si="13"/>
        <v>CO_TRANSFER_ROBOT_OUT_CALIBRATION_DATA</v>
      </c>
    </row>
    <row r="103" spans="1:39" x14ac:dyDescent="0.3">
      <c r="A103">
        <f t="shared" si="16"/>
        <v>13000</v>
      </c>
      <c r="B103" t="s">
        <v>20</v>
      </c>
      <c r="C103" t="s">
        <v>838</v>
      </c>
      <c r="D103" t="s">
        <v>20</v>
      </c>
      <c r="E103" t="s">
        <v>842</v>
      </c>
      <c r="F103" t="s">
        <v>20</v>
      </c>
      <c r="G103" t="s">
        <v>845</v>
      </c>
      <c r="H103" t="s">
        <v>20</v>
      </c>
      <c r="I103" t="s">
        <v>845</v>
      </c>
      <c r="J103" t="s">
        <v>20</v>
      </c>
      <c r="K103" s="19" t="s">
        <v>848</v>
      </c>
      <c r="L103" t="s">
        <v>20</v>
      </c>
      <c r="M103" t="s">
        <v>851</v>
      </c>
      <c r="N103" t="s">
        <v>20</v>
      </c>
      <c r="O103" t="s">
        <v>853</v>
      </c>
      <c r="P103" t="s">
        <v>20</v>
      </c>
      <c r="Q103" t="s">
        <v>853</v>
      </c>
      <c r="R103" t="s">
        <v>20</v>
      </c>
      <c r="S103" s="19" t="s">
        <v>855</v>
      </c>
      <c r="T103" t="s">
        <v>20</v>
      </c>
      <c r="U103" t="s">
        <v>95</v>
      </c>
      <c r="V103" t="s">
        <v>20</v>
      </c>
      <c r="W103" t="s">
        <v>707</v>
      </c>
      <c r="X103" t="s">
        <v>20</v>
      </c>
      <c r="Y103" t="s">
        <v>19</v>
      </c>
      <c r="Z103" t="s">
        <v>20</v>
      </c>
      <c r="AA103" s="21">
        <v>0.84269660000000002</v>
      </c>
      <c r="AB103" t="s">
        <v>20</v>
      </c>
      <c r="AC103" s="21">
        <v>0.4036458</v>
      </c>
      <c r="AD103" t="s">
        <v>20</v>
      </c>
      <c r="AE103" s="21">
        <v>7.8651689999999996E-2</v>
      </c>
      <c r="AF103" t="s">
        <v>20</v>
      </c>
      <c r="AG103" s="21">
        <v>0.1588542</v>
      </c>
      <c r="AJ103" t="str">
        <f>VLOOKUP(Sheet1!W103,'알람 범위'!$D$2:$F$45,3,FALSE)</f>
        <v>13000</v>
      </c>
      <c r="AK103">
        <v>0</v>
      </c>
      <c r="AL103">
        <f t="shared" si="17"/>
        <v>13000</v>
      </c>
      <c r="AM103" t="str">
        <f t="shared" si="13"/>
        <v>MO_OUT_FLIP_R1_HOME_MOTION</v>
      </c>
    </row>
    <row r="104" spans="1:39" x14ac:dyDescent="0.3">
      <c r="A104">
        <f t="shared" si="16"/>
        <v>13001</v>
      </c>
      <c r="B104" t="s">
        <v>20</v>
      </c>
      <c r="C104" t="s">
        <v>839</v>
      </c>
      <c r="D104" t="s">
        <v>20</v>
      </c>
      <c r="E104" t="s">
        <v>843</v>
      </c>
      <c r="F104" t="s">
        <v>20</v>
      </c>
      <c r="G104" t="s">
        <v>846</v>
      </c>
      <c r="H104" t="s">
        <v>20</v>
      </c>
      <c r="I104" t="s">
        <v>846</v>
      </c>
      <c r="J104" t="s">
        <v>20</v>
      </c>
      <c r="K104" s="19" t="s">
        <v>849</v>
      </c>
      <c r="L104" t="s">
        <v>20</v>
      </c>
      <c r="M104" t="s">
        <v>852</v>
      </c>
      <c r="N104" t="s">
        <v>20</v>
      </c>
      <c r="O104" t="s">
        <v>854</v>
      </c>
      <c r="P104" t="s">
        <v>20</v>
      </c>
      <c r="Q104" t="s">
        <v>854</v>
      </c>
      <c r="R104" t="s">
        <v>20</v>
      </c>
      <c r="S104" s="19" t="s">
        <v>856</v>
      </c>
      <c r="T104" t="s">
        <v>20</v>
      </c>
      <c r="U104" t="s">
        <v>21</v>
      </c>
      <c r="V104" t="s">
        <v>20</v>
      </c>
      <c r="W104" t="s">
        <v>707</v>
      </c>
      <c r="X104" t="s">
        <v>20</v>
      </c>
      <c r="Y104" t="s">
        <v>19</v>
      </c>
      <c r="Z104" t="s">
        <v>20</v>
      </c>
      <c r="AA104" s="21">
        <v>0.84269660000000002</v>
      </c>
      <c r="AB104" t="s">
        <v>20</v>
      </c>
      <c r="AC104" s="21">
        <v>0.4036458</v>
      </c>
      <c r="AD104" t="s">
        <v>20</v>
      </c>
      <c r="AE104" s="21">
        <v>7.8651689999999996E-2</v>
      </c>
      <c r="AF104" t="s">
        <v>20</v>
      </c>
      <c r="AG104" s="21">
        <v>0.1588542</v>
      </c>
      <c r="AJ104" t="str">
        <f>VLOOKUP(Sheet1!W104,'알람 범위'!$D$2:$F$45,3,FALSE)</f>
        <v>13000</v>
      </c>
      <c r="AK104">
        <v>1</v>
      </c>
      <c r="AL104">
        <f t="shared" si="17"/>
        <v>13001</v>
      </c>
      <c r="AM104" t="str">
        <f t="shared" si="13"/>
        <v>MO_OUT_FLIP_R1_LOAD_MOVE</v>
      </c>
    </row>
    <row r="105" spans="1:39" x14ac:dyDescent="0.3">
      <c r="A105">
        <f t="shared" si="16"/>
        <v>13002</v>
      </c>
      <c r="B105" t="s">
        <v>20</v>
      </c>
      <c r="C105" t="s">
        <v>841</v>
      </c>
      <c r="D105" t="s">
        <v>20</v>
      </c>
      <c r="E105" t="s">
        <v>844</v>
      </c>
      <c r="F105" t="s">
        <v>20</v>
      </c>
      <c r="G105" t="s">
        <v>847</v>
      </c>
      <c r="H105" t="s">
        <v>20</v>
      </c>
      <c r="I105" t="s">
        <v>847</v>
      </c>
      <c r="J105" t="s">
        <v>20</v>
      </c>
      <c r="K105" s="19" t="s">
        <v>850</v>
      </c>
      <c r="L105" t="s">
        <v>20</v>
      </c>
      <c r="M105" t="s">
        <v>852</v>
      </c>
      <c r="N105" t="s">
        <v>20</v>
      </c>
      <c r="O105" t="s">
        <v>854</v>
      </c>
      <c r="P105" t="s">
        <v>20</v>
      </c>
      <c r="Q105" t="s">
        <v>854</v>
      </c>
      <c r="R105" t="s">
        <v>20</v>
      </c>
      <c r="S105" s="19" t="s">
        <v>856</v>
      </c>
      <c r="T105" t="s">
        <v>20</v>
      </c>
      <c r="U105" t="s">
        <v>21</v>
      </c>
      <c r="V105" t="s">
        <v>20</v>
      </c>
      <c r="W105" t="s">
        <v>707</v>
      </c>
      <c r="X105" t="s">
        <v>20</v>
      </c>
      <c r="Y105" t="s">
        <v>19</v>
      </c>
      <c r="Z105" t="s">
        <v>20</v>
      </c>
      <c r="AA105" s="21">
        <v>0.84269660000000002</v>
      </c>
      <c r="AB105" t="s">
        <v>20</v>
      </c>
      <c r="AC105" s="21">
        <v>0.4036458</v>
      </c>
      <c r="AD105" t="s">
        <v>20</v>
      </c>
      <c r="AE105" s="21">
        <v>7.8651689999999996E-2</v>
      </c>
      <c r="AF105" t="s">
        <v>20</v>
      </c>
      <c r="AG105" s="21">
        <v>0.1588542</v>
      </c>
      <c r="AJ105" t="str">
        <f>VLOOKUP(Sheet1!W105,'알람 범위'!$D$2:$F$45,3,FALSE)</f>
        <v>13000</v>
      </c>
      <c r="AK105">
        <v>2</v>
      </c>
      <c r="AL105">
        <f t="shared" si="17"/>
        <v>13002</v>
      </c>
      <c r="AM105" t="str">
        <f t="shared" si="13"/>
        <v>MO_OUT_FLIP_R1_UNLOAD_MOVE</v>
      </c>
    </row>
    <row r="106" spans="1:39" x14ac:dyDescent="0.3">
      <c r="A106">
        <f t="shared" ref="A106:A108" si="22">AL106</f>
        <v>13010</v>
      </c>
      <c r="B106" t="s">
        <v>20</v>
      </c>
      <c r="C106" t="s">
        <v>857</v>
      </c>
      <c r="D106" t="s">
        <v>20</v>
      </c>
      <c r="E106" t="s">
        <v>860</v>
      </c>
      <c r="F106" t="s">
        <v>20</v>
      </c>
      <c r="G106" t="s">
        <v>863</v>
      </c>
      <c r="H106" t="s">
        <v>20</v>
      </c>
      <c r="I106" t="s">
        <v>863</v>
      </c>
      <c r="J106" t="s">
        <v>20</v>
      </c>
      <c r="K106" s="19" t="s">
        <v>866</v>
      </c>
      <c r="L106" t="s">
        <v>20</v>
      </c>
      <c r="M106" t="s">
        <v>869</v>
      </c>
      <c r="N106" t="s">
        <v>20</v>
      </c>
      <c r="O106" t="s">
        <v>872</v>
      </c>
      <c r="P106" t="s">
        <v>20</v>
      </c>
      <c r="Q106" t="s">
        <v>872</v>
      </c>
      <c r="R106" t="s">
        <v>20</v>
      </c>
      <c r="S106" s="19" t="s">
        <v>874</v>
      </c>
      <c r="T106" t="s">
        <v>20</v>
      </c>
      <c r="U106" t="s">
        <v>95</v>
      </c>
      <c r="V106" t="s">
        <v>20</v>
      </c>
      <c r="W106" t="s">
        <v>707</v>
      </c>
      <c r="X106" t="s">
        <v>20</v>
      </c>
      <c r="Y106" t="s">
        <v>19</v>
      </c>
      <c r="Z106" t="s">
        <v>20</v>
      </c>
      <c r="AA106" s="21">
        <v>0.74799360000000004</v>
      </c>
      <c r="AB106" t="s">
        <v>20</v>
      </c>
      <c r="AC106" s="21">
        <v>0.4036458</v>
      </c>
      <c r="AD106" t="s">
        <v>20</v>
      </c>
      <c r="AE106" s="21">
        <v>7.8651689999999996E-2</v>
      </c>
      <c r="AF106" t="s">
        <v>20</v>
      </c>
      <c r="AG106" s="21">
        <v>0.1575521</v>
      </c>
      <c r="AJ106" t="str">
        <f>VLOOKUP(Sheet1!W106,'알람 범위'!$D$2:$F$45,3,FALSE)</f>
        <v>13000</v>
      </c>
      <c r="AK106">
        <v>10</v>
      </c>
      <c r="AL106">
        <f t="shared" ref="AL106:AL108" si="23">AJ106+AK106</f>
        <v>13010</v>
      </c>
      <c r="AM106" t="str">
        <f t="shared" si="13"/>
        <v>MO_OUT_FLIP_R2_HOME_MOTION</v>
      </c>
    </row>
    <row r="107" spans="1:39" x14ac:dyDescent="0.3">
      <c r="A107">
        <f t="shared" si="22"/>
        <v>13011</v>
      </c>
      <c r="B107" t="s">
        <v>20</v>
      </c>
      <c r="C107" t="s">
        <v>858</v>
      </c>
      <c r="D107" t="s">
        <v>20</v>
      </c>
      <c r="E107" t="s">
        <v>861</v>
      </c>
      <c r="F107" t="s">
        <v>20</v>
      </c>
      <c r="G107" t="s">
        <v>864</v>
      </c>
      <c r="H107" t="s">
        <v>20</v>
      </c>
      <c r="I107" t="s">
        <v>864</v>
      </c>
      <c r="J107" t="s">
        <v>20</v>
      </c>
      <c r="K107" s="19" t="s">
        <v>867</v>
      </c>
      <c r="L107" t="s">
        <v>20</v>
      </c>
      <c r="M107" t="s">
        <v>870</v>
      </c>
      <c r="N107" t="s">
        <v>20</v>
      </c>
      <c r="O107" t="s">
        <v>873</v>
      </c>
      <c r="P107" t="s">
        <v>20</v>
      </c>
      <c r="Q107" t="s">
        <v>873</v>
      </c>
      <c r="R107" t="s">
        <v>20</v>
      </c>
      <c r="S107" s="19" t="s">
        <v>875</v>
      </c>
      <c r="T107" t="s">
        <v>20</v>
      </c>
      <c r="U107" t="s">
        <v>21</v>
      </c>
      <c r="V107" t="s">
        <v>20</v>
      </c>
      <c r="W107" t="s">
        <v>707</v>
      </c>
      <c r="X107" t="s">
        <v>20</v>
      </c>
      <c r="Y107" t="s">
        <v>19</v>
      </c>
      <c r="Z107" t="s">
        <v>20</v>
      </c>
      <c r="AA107" s="21">
        <v>0.74799360000000004</v>
      </c>
      <c r="AB107" t="s">
        <v>20</v>
      </c>
      <c r="AC107" s="21">
        <v>0.4036458</v>
      </c>
      <c r="AD107" t="s">
        <v>20</v>
      </c>
      <c r="AE107" s="21">
        <v>7.8651689999999996E-2</v>
      </c>
      <c r="AF107" t="s">
        <v>20</v>
      </c>
      <c r="AG107" s="21">
        <v>0.1575521</v>
      </c>
      <c r="AJ107" t="str">
        <f>VLOOKUP(Sheet1!W107,'알람 범위'!$D$2:$F$45,3,FALSE)</f>
        <v>13000</v>
      </c>
      <c r="AK107">
        <v>11</v>
      </c>
      <c r="AL107">
        <f t="shared" si="23"/>
        <v>13011</v>
      </c>
      <c r="AM107" t="str">
        <f t="shared" si="13"/>
        <v>MO_OUT_FLIP_R2_LOAD_MOVE</v>
      </c>
    </row>
    <row r="108" spans="1:39" x14ac:dyDescent="0.3">
      <c r="A108">
        <f t="shared" si="22"/>
        <v>13012</v>
      </c>
      <c r="B108" t="s">
        <v>20</v>
      </c>
      <c r="C108" t="s">
        <v>859</v>
      </c>
      <c r="D108" t="s">
        <v>20</v>
      </c>
      <c r="E108" t="s">
        <v>862</v>
      </c>
      <c r="F108" t="s">
        <v>20</v>
      </c>
      <c r="G108" t="s">
        <v>865</v>
      </c>
      <c r="H108" t="s">
        <v>20</v>
      </c>
      <c r="I108" t="s">
        <v>865</v>
      </c>
      <c r="J108" t="s">
        <v>20</v>
      </c>
      <c r="K108" s="19" t="s">
        <v>868</v>
      </c>
      <c r="L108" t="s">
        <v>20</v>
      </c>
      <c r="M108" t="s">
        <v>871</v>
      </c>
      <c r="N108" t="s">
        <v>20</v>
      </c>
      <c r="O108" t="s">
        <v>873</v>
      </c>
      <c r="P108" t="s">
        <v>20</v>
      </c>
      <c r="Q108" t="s">
        <v>873</v>
      </c>
      <c r="R108" t="s">
        <v>20</v>
      </c>
      <c r="S108" s="19" t="s">
        <v>875</v>
      </c>
      <c r="T108" t="s">
        <v>20</v>
      </c>
      <c r="U108" t="s">
        <v>21</v>
      </c>
      <c r="V108" t="s">
        <v>20</v>
      </c>
      <c r="W108" t="s">
        <v>707</v>
      </c>
      <c r="X108" t="s">
        <v>20</v>
      </c>
      <c r="Y108" t="s">
        <v>19</v>
      </c>
      <c r="Z108" t="s">
        <v>20</v>
      </c>
      <c r="AA108" s="21">
        <v>0.74799360000000004</v>
      </c>
      <c r="AB108" t="s">
        <v>20</v>
      </c>
      <c r="AC108" s="21">
        <v>0.4036458</v>
      </c>
      <c r="AD108" t="s">
        <v>20</v>
      </c>
      <c r="AE108" s="21">
        <v>7.8651689999999996E-2</v>
      </c>
      <c r="AF108" t="s">
        <v>20</v>
      </c>
      <c r="AG108" s="21">
        <v>0.1575521</v>
      </c>
      <c r="AJ108" t="str">
        <f>VLOOKUP(Sheet1!W108,'알람 범위'!$D$2:$F$45,3,FALSE)</f>
        <v>13000</v>
      </c>
      <c r="AK108">
        <v>12</v>
      </c>
      <c r="AL108">
        <f t="shared" si="23"/>
        <v>13012</v>
      </c>
      <c r="AM108" t="str">
        <f t="shared" si="13"/>
        <v>MO_OUT_FLIP_R2_UNLOAD_MOVE</v>
      </c>
    </row>
    <row r="109" spans="1:39" x14ac:dyDescent="0.3">
      <c r="A109">
        <f t="shared" ref="A109:A111" si="24">AL109</f>
        <v>13020</v>
      </c>
      <c r="B109" t="s">
        <v>20</v>
      </c>
      <c r="C109" t="s">
        <v>876</v>
      </c>
      <c r="D109" t="s">
        <v>20</v>
      </c>
      <c r="E109" t="s">
        <v>877</v>
      </c>
      <c r="F109" t="s">
        <v>20</v>
      </c>
      <c r="G109" t="s">
        <v>878</v>
      </c>
      <c r="H109" t="s">
        <v>20</v>
      </c>
      <c r="I109" t="s">
        <v>878</v>
      </c>
      <c r="J109" t="s">
        <v>20</v>
      </c>
      <c r="K109" s="19" t="s">
        <v>879</v>
      </c>
      <c r="L109" t="s">
        <v>20</v>
      </c>
      <c r="M109" t="s">
        <v>880</v>
      </c>
      <c r="N109" t="s">
        <v>20</v>
      </c>
      <c r="O109" t="s">
        <v>883</v>
      </c>
      <c r="P109" t="s">
        <v>20</v>
      </c>
      <c r="Q109" t="s">
        <v>883</v>
      </c>
      <c r="R109" t="s">
        <v>20</v>
      </c>
      <c r="S109" s="19" t="s">
        <v>885</v>
      </c>
      <c r="T109" t="s">
        <v>20</v>
      </c>
      <c r="U109" t="s">
        <v>95</v>
      </c>
      <c r="V109" t="s">
        <v>20</v>
      </c>
      <c r="W109" t="s">
        <v>707</v>
      </c>
      <c r="X109" t="s">
        <v>20</v>
      </c>
      <c r="Y109" t="s">
        <v>19</v>
      </c>
      <c r="Z109" t="s">
        <v>20</v>
      </c>
      <c r="AA109" s="21">
        <v>0.78651680000000002</v>
      </c>
      <c r="AB109" t="s">
        <v>20</v>
      </c>
      <c r="AC109" s="21">
        <v>0.34244790000000003</v>
      </c>
      <c r="AD109" t="s">
        <v>20</v>
      </c>
      <c r="AE109" s="21">
        <v>0.1219904</v>
      </c>
      <c r="AF109" t="s">
        <v>20</v>
      </c>
      <c r="AG109" s="21">
        <v>6.7708340000000006E-2</v>
      </c>
      <c r="AJ109" t="str">
        <f>VLOOKUP(Sheet1!W109,'알람 범위'!$D$2:$F$45,3,FALSE)</f>
        <v>13000</v>
      </c>
      <c r="AK109">
        <v>20</v>
      </c>
      <c r="AL109">
        <f t="shared" ref="AL109:AL111" si="25">AJ109+AK109</f>
        <v>13020</v>
      </c>
      <c r="AM109" t="str">
        <f t="shared" si="13"/>
        <v>MO_OUT_FLIP_Z_HOME_MOTION</v>
      </c>
    </row>
    <row r="110" spans="1:39" x14ac:dyDescent="0.3">
      <c r="A110">
        <f t="shared" si="24"/>
        <v>13021</v>
      </c>
      <c r="B110" t="s">
        <v>20</v>
      </c>
      <c r="C110" t="s">
        <v>1006</v>
      </c>
      <c r="D110" t="s">
        <v>20</v>
      </c>
      <c r="E110" t="s">
        <v>1008</v>
      </c>
      <c r="F110" t="s">
        <v>20</v>
      </c>
      <c r="G110" t="s">
        <v>1011</v>
      </c>
      <c r="H110" t="s">
        <v>20</v>
      </c>
      <c r="I110" t="s">
        <v>1011</v>
      </c>
      <c r="J110" t="s">
        <v>20</v>
      </c>
      <c r="K110" s="19" t="s">
        <v>1012</v>
      </c>
      <c r="L110" t="s">
        <v>20</v>
      </c>
      <c r="M110" t="s">
        <v>881</v>
      </c>
      <c r="N110" t="s">
        <v>20</v>
      </c>
      <c r="O110" t="s">
        <v>884</v>
      </c>
      <c r="P110" t="s">
        <v>20</v>
      </c>
      <c r="Q110" t="s">
        <v>884</v>
      </c>
      <c r="R110" t="s">
        <v>20</v>
      </c>
      <c r="S110" s="19" t="s">
        <v>886</v>
      </c>
      <c r="T110" t="s">
        <v>20</v>
      </c>
      <c r="U110" t="s">
        <v>21</v>
      </c>
      <c r="V110" t="s">
        <v>20</v>
      </c>
      <c r="W110" t="s">
        <v>707</v>
      </c>
      <c r="X110" t="s">
        <v>20</v>
      </c>
      <c r="Y110" t="s">
        <v>19</v>
      </c>
      <c r="Z110" t="s">
        <v>20</v>
      </c>
      <c r="AA110" s="21">
        <v>0.78651680000000002</v>
      </c>
      <c r="AB110" t="s">
        <v>20</v>
      </c>
      <c r="AC110" s="21">
        <v>0.34244790000000003</v>
      </c>
      <c r="AD110" t="s">
        <v>20</v>
      </c>
      <c r="AE110" s="21">
        <v>0.1219904</v>
      </c>
      <c r="AF110" t="s">
        <v>20</v>
      </c>
      <c r="AG110" s="21">
        <v>6.7708340000000006E-2</v>
      </c>
      <c r="AJ110" t="str">
        <f>VLOOKUP(Sheet1!W110,'알람 범위'!$D$2:$F$45,3,FALSE)</f>
        <v>13000</v>
      </c>
      <c r="AK110">
        <v>21</v>
      </c>
      <c r="AL110">
        <f t="shared" si="25"/>
        <v>13021</v>
      </c>
      <c r="AM110" t="str">
        <f t="shared" si="13"/>
        <v>MO_OUT_FLIP_Z_UP_MOVE</v>
      </c>
    </row>
    <row r="111" spans="1:39" x14ac:dyDescent="0.3">
      <c r="A111">
        <f t="shared" si="24"/>
        <v>13022</v>
      </c>
      <c r="B111" t="s">
        <v>20</v>
      </c>
      <c r="C111" t="s">
        <v>1007</v>
      </c>
      <c r="D111" t="s">
        <v>20</v>
      </c>
      <c r="E111" t="s">
        <v>1009</v>
      </c>
      <c r="F111" t="s">
        <v>20</v>
      </c>
      <c r="G111" t="s">
        <v>1010</v>
      </c>
      <c r="H111" t="s">
        <v>20</v>
      </c>
      <c r="I111" t="s">
        <v>1010</v>
      </c>
      <c r="J111" t="s">
        <v>20</v>
      </c>
      <c r="K111" s="19" t="s">
        <v>1013</v>
      </c>
      <c r="L111" t="s">
        <v>20</v>
      </c>
      <c r="M111" t="s">
        <v>882</v>
      </c>
      <c r="N111" t="s">
        <v>20</v>
      </c>
      <c r="O111" t="s">
        <v>884</v>
      </c>
      <c r="P111" t="s">
        <v>20</v>
      </c>
      <c r="Q111" t="s">
        <v>884</v>
      </c>
      <c r="R111" t="s">
        <v>20</v>
      </c>
      <c r="S111" s="19" t="s">
        <v>886</v>
      </c>
      <c r="T111" t="s">
        <v>20</v>
      </c>
      <c r="U111" t="s">
        <v>21</v>
      </c>
      <c r="V111" t="s">
        <v>20</v>
      </c>
      <c r="W111" t="s">
        <v>707</v>
      </c>
      <c r="X111" t="s">
        <v>20</v>
      </c>
      <c r="Y111" t="s">
        <v>19</v>
      </c>
      <c r="Z111" t="s">
        <v>20</v>
      </c>
      <c r="AA111" s="21">
        <v>0.78651680000000002</v>
      </c>
      <c r="AB111" t="s">
        <v>20</v>
      </c>
      <c r="AC111" s="21">
        <v>0.34244790000000003</v>
      </c>
      <c r="AD111" t="s">
        <v>20</v>
      </c>
      <c r="AE111" s="21">
        <v>0.1219904</v>
      </c>
      <c r="AF111" t="s">
        <v>20</v>
      </c>
      <c r="AG111" s="21">
        <v>6.7708340000000006E-2</v>
      </c>
      <c r="AJ111" t="str">
        <f>VLOOKUP(Sheet1!W111,'알람 범위'!$D$2:$F$45,3,FALSE)</f>
        <v>13000</v>
      </c>
      <c r="AK111">
        <v>22</v>
      </c>
      <c r="AL111">
        <f t="shared" si="25"/>
        <v>13022</v>
      </c>
      <c r="AM111" t="str">
        <f t="shared" si="13"/>
        <v>MO_OUT_FLIP_Z_DOWN_MOVE</v>
      </c>
    </row>
    <row r="112" spans="1:39" x14ac:dyDescent="0.3">
      <c r="A112">
        <f t="shared" ref="A112:A123" si="26">AL112</f>
        <v>13100</v>
      </c>
      <c r="B112" t="s">
        <v>20</v>
      </c>
      <c r="C112" t="s">
        <v>726</v>
      </c>
      <c r="D112" t="s">
        <v>20</v>
      </c>
      <c r="E112" t="s">
        <v>738</v>
      </c>
      <c r="F112" t="s">
        <v>20</v>
      </c>
      <c r="G112" t="s">
        <v>750</v>
      </c>
      <c r="H112" t="s">
        <v>20</v>
      </c>
      <c r="I112" t="s">
        <v>750</v>
      </c>
      <c r="J112" t="s">
        <v>20</v>
      </c>
      <c r="K112" t="s">
        <v>750</v>
      </c>
      <c r="L112" t="s">
        <v>20</v>
      </c>
      <c r="M112" t="s">
        <v>762</v>
      </c>
      <c r="N112" t="s">
        <v>20</v>
      </c>
      <c r="O112" t="s">
        <v>768</v>
      </c>
      <c r="P112" t="s">
        <v>20</v>
      </c>
      <c r="Q112" t="s">
        <v>768</v>
      </c>
      <c r="R112" t="s">
        <v>20</v>
      </c>
      <c r="S112" t="s">
        <v>768</v>
      </c>
      <c r="T112" t="s">
        <v>20</v>
      </c>
      <c r="U112" t="s">
        <v>21</v>
      </c>
      <c r="V112" t="s">
        <v>20</v>
      </c>
      <c r="W112" t="s">
        <v>707</v>
      </c>
      <c r="X112" t="s">
        <v>20</v>
      </c>
      <c r="Y112" t="s">
        <v>19</v>
      </c>
      <c r="Z112" t="s">
        <v>20</v>
      </c>
      <c r="AA112" s="21">
        <v>0.84269660000000002</v>
      </c>
      <c r="AB112" t="s">
        <v>20</v>
      </c>
      <c r="AC112" s="21">
        <v>0.47265629999999997</v>
      </c>
      <c r="AD112" t="s">
        <v>20</v>
      </c>
      <c r="AE112" s="21">
        <v>7.8651689999999996E-2</v>
      </c>
      <c r="AF112" t="s">
        <v>20</v>
      </c>
      <c r="AG112" s="21">
        <v>8.8541659999999994E-2</v>
      </c>
      <c r="AJ112" t="str">
        <f>VLOOKUP(Sheet1!W112,'알람 범위'!$D$2:$F$45,3,FALSE)</f>
        <v>13000</v>
      </c>
      <c r="AK112">
        <v>100</v>
      </c>
      <c r="AL112">
        <f t="shared" ref="AL112:AL123" si="27">AJ112+AK112</f>
        <v>13100</v>
      </c>
      <c r="AM112" t="str">
        <f t="shared" si="13"/>
        <v>VC_OUT_FLIP_P1_VACUUM</v>
      </c>
    </row>
    <row r="113" spans="1:39" x14ac:dyDescent="0.3">
      <c r="A113">
        <f t="shared" si="26"/>
        <v>13101</v>
      </c>
      <c r="B113" t="s">
        <v>20</v>
      </c>
      <c r="C113" t="s">
        <v>727</v>
      </c>
      <c r="D113" t="s">
        <v>20</v>
      </c>
      <c r="E113" t="s">
        <v>739</v>
      </c>
      <c r="F113" t="s">
        <v>20</v>
      </c>
      <c r="G113" t="s">
        <v>751</v>
      </c>
      <c r="H113" t="s">
        <v>20</v>
      </c>
      <c r="I113" t="s">
        <v>751</v>
      </c>
      <c r="J113" t="s">
        <v>20</v>
      </c>
      <c r="K113" t="s">
        <v>751</v>
      </c>
      <c r="L113" t="s">
        <v>20</v>
      </c>
      <c r="M113" t="s">
        <v>762</v>
      </c>
      <c r="N113" t="s">
        <v>20</v>
      </c>
      <c r="O113" t="s">
        <v>768</v>
      </c>
      <c r="P113" t="s">
        <v>20</v>
      </c>
      <c r="Q113" t="s">
        <v>768</v>
      </c>
      <c r="R113" t="s">
        <v>20</v>
      </c>
      <c r="S113" t="s">
        <v>768</v>
      </c>
      <c r="T113" t="s">
        <v>20</v>
      </c>
      <c r="U113" t="s">
        <v>21</v>
      </c>
      <c r="V113" t="s">
        <v>20</v>
      </c>
      <c r="W113" t="s">
        <v>707</v>
      </c>
      <c r="X113" t="s">
        <v>20</v>
      </c>
      <c r="Y113" t="s">
        <v>19</v>
      </c>
      <c r="Z113" t="s">
        <v>20</v>
      </c>
      <c r="AA113" s="21">
        <v>0.84269660000000002</v>
      </c>
      <c r="AB113" t="s">
        <v>20</v>
      </c>
      <c r="AC113" s="21">
        <v>0.47265629999999997</v>
      </c>
      <c r="AD113" t="s">
        <v>20</v>
      </c>
      <c r="AE113" s="21">
        <v>7.8651689999999996E-2</v>
      </c>
      <c r="AF113" t="s">
        <v>20</v>
      </c>
      <c r="AG113" s="21">
        <v>8.8541659999999994E-2</v>
      </c>
      <c r="AJ113" t="str">
        <f>VLOOKUP(Sheet1!W113,'알람 범위'!$D$2:$F$45,3,FALSE)</f>
        <v>13000</v>
      </c>
      <c r="AK113">
        <v>101</v>
      </c>
      <c r="AL113">
        <f t="shared" si="27"/>
        <v>13101</v>
      </c>
      <c r="AM113" t="str">
        <f t="shared" si="13"/>
        <v>VC_OUT_FLIP_P1_BLOW</v>
      </c>
    </row>
    <row r="114" spans="1:39" x14ac:dyDescent="0.3">
      <c r="A114">
        <f t="shared" si="26"/>
        <v>13102</v>
      </c>
      <c r="B114" t="s">
        <v>20</v>
      </c>
      <c r="C114" t="s">
        <v>728</v>
      </c>
      <c r="D114" t="s">
        <v>20</v>
      </c>
      <c r="E114" t="s">
        <v>740</v>
      </c>
      <c r="F114" t="s">
        <v>20</v>
      </c>
      <c r="G114" t="s">
        <v>752</v>
      </c>
      <c r="H114" t="s">
        <v>20</v>
      </c>
      <c r="I114" t="s">
        <v>752</v>
      </c>
      <c r="J114" t="s">
        <v>20</v>
      </c>
      <c r="K114" t="s">
        <v>752</v>
      </c>
      <c r="L114" t="s">
        <v>20</v>
      </c>
      <c r="M114" t="s">
        <v>763</v>
      </c>
      <c r="N114" t="s">
        <v>20</v>
      </c>
      <c r="O114" t="s">
        <v>769</v>
      </c>
      <c r="P114" t="s">
        <v>20</v>
      </c>
      <c r="Q114" t="s">
        <v>769</v>
      </c>
      <c r="R114" t="s">
        <v>20</v>
      </c>
      <c r="S114" t="s">
        <v>769</v>
      </c>
      <c r="T114" t="s">
        <v>20</v>
      </c>
      <c r="U114" t="s">
        <v>21</v>
      </c>
      <c r="V114" t="s">
        <v>20</v>
      </c>
      <c r="W114" t="s">
        <v>707</v>
      </c>
      <c r="X114" t="s">
        <v>20</v>
      </c>
      <c r="Y114" t="s">
        <v>19</v>
      </c>
      <c r="Z114" t="s">
        <v>20</v>
      </c>
      <c r="AA114" s="21">
        <v>0.84269660000000002</v>
      </c>
      <c r="AB114" t="s">
        <v>20</v>
      </c>
      <c r="AC114" s="21">
        <v>0.47265629999999997</v>
      </c>
      <c r="AD114" t="s">
        <v>20</v>
      </c>
      <c r="AE114" s="21">
        <v>7.8651689999999996E-2</v>
      </c>
      <c r="AF114" t="s">
        <v>20</v>
      </c>
      <c r="AG114" s="21">
        <v>8.8541659999999994E-2</v>
      </c>
      <c r="AJ114" t="str">
        <f>VLOOKUP(Sheet1!W114,'알람 범위'!$D$2:$F$45,3,FALSE)</f>
        <v>13000</v>
      </c>
      <c r="AK114">
        <v>102</v>
      </c>
      <c r="AL114">
        <f t="shared" si="27"/>
        <v>13102</v>
      </c>
      <c r="AM114" t="str">
        <f t="shared" si="13"/>
        <v>SE_OUT_FLIP_P1_VACUUM_CHECK</v>
      </c>
    </row>
    <row r="115" spans="1:39" x14ac:dyDescent="0.3">
      <c r="A115">
        <f t="shared" si="26"/>
        <v>13103</v>
      </c>
      <c r="B115" t="s">
        <v>20</v>
      </c>
      <c r="C115" t="s">
        <v>729</v>
      </c>
      <c r="D115" t="s">
        <v>20</v>
      </c>
      <c r="E115" t="s">
        <v>741</v>
      </c>
      <c r="F115" t="s">
        <v>20</v>
      </c>
      <c r="G115" t="s">
        <v>753</v>
      </c>
      <c r="H115" t="s">
        <v>20</v>
      </c>
      <c r="I115" t="s">
        <v>753</v>
      </c>
      <c r="J115" t="s">
        <v>20</v>
      </c>
      <c r="K115" t="s">
        <v>753</v>
      </c>
      <c r="L115" t="s">
        <v>20</v>
      </c>
      <c r="M115" t="s">
        <v>764</v>
      </c>
      <c r="N115" t="s">
        <v>20</v>
      </c>
      <c r="O115" t="s">
        <v>770</v>
      </c>
      <c r="P115" t="s">
        <v>20</v>
      </c>
      <c r="Q115" t="s">
        <v>770</v>
      </c>
      <c r="R115" t="s">
        <v>20</v>
      </c>
      <c r="S115" t="s">
        <v>770</v>
      </c>
      <c r="T115" t="s">
        <v>20</v>
      </c>
      <c r="U115" t="s">
        <v>21</v>
      </c>
      <c r="V115" t="s">
        <v>20</v>
      </c>
      <c r="W115" t="s">
        <v>707</v>
      </c>
      <c r="X115" t="s">
        <v>20</v>
      </c>
      <c r="Y115" t="s">
        <v>19</v>
      </c>
      <c r="Z115" t="s">
        <v>20</v>
      </c>
      <c r="AA115" s="21">
        <v>0.84269660000000002</v>
      </c>
      <c r="AB115" t="s">
        <v>20</v>
      </c>
      <c r="AC115" s="21">
        <v>0.47265629999999997</v>
      </c>
      <c r="AD115" t="s">
        <v>20</v>
      </c>
      <c r="AE115" s="21">
        <v>7.8651689999999996E-2</v>
      </c>
      <c r="AF115" t="s">
        <v>20</v>
      </c>
      <c r="AG115" s="21">
        <v>8.8541659999999994E-2</v>
      </c>
      <c r="AJ115" t="str">
        <f>VLOOKUP(Sheet1!W115,'알람 범위'!$D$2:$F$45,3,FALSE)</f>
        <v>13000</v>
      </c>
      <c r="AK115">
        <v>103</v>
      </c>
      <c r="AL115">
        <f t="shared" si="27"/>
        <v>13103</v>
      </c>
      <c r="AM115" t="str">
        <f t="shared" si="13"/>
        <v>SE_OUT_FLIP_P1_SENSOR_CHECK</v>
      </c>
    </row>
    <row r="116" spans="1:39" x14ac:dyDescent="0.3">
      <c r="A116">
        <f t="shared" si="26"/>
        <v>13104</v>
      </c>
      <c r="B116" t="s">
        <v>20</v>
      </c>
      <c r="C116" t="s">
        <v>730</v>
      </c>
      <c r="D116" t="s">
        <v>20</v>
      </c>
      <c r="E116" t="s">
        <v>742</v>
      </c>
      <c r="F116" t="s">
        <v>20</v>
      </c>
      <c r="G116" t="s">
        <v>754</v>
      </c>
      <c r="H116" t="s">
        <v>20</v>
      </c>
      <c r="I116" t="s">
        <v>754</v>
      </c>
      <c r="J116" t="s">
        <v>20</v>
      </c>
      <c r="K116" t="s">
        <v>754</v>
      </c>
      <c r="L116" t="s">
        <v>20</v>
      </c>
      <c r="M116" t="s">
        <v>763</v>
      </c>
      <c r="N116" t="s">
        <v>20</v>
      </c>
      <c r="O116" t="s">
        <v>769</v>
      </c>
      <c r="P116" t="s">
        <v>20</v>
      </c>
      <c r="Q116" t="s">
        <v>769</v>
      </c>
      <c r="R116" t="s">
        <v>20</v>
      </c>
      <c r="S116" t="s">
        <v>769</v>
      </c>
      <c r="T116" t="s">
        <v>20</v>
      </c>
      <c r="U116" t="s">
        <v>21</v>
      </c>
      <c r="V116" t="s">
        <v>20</v>
      </c>
      <c r="W116" t="s">
        <v>707</v>
      </c>
      <c r="X116" t="s">
        <v>20</v>
      </c>
      <c r="Y116" t="s">
        <v>19</v>
      </c>
      <c r="Z116" t="s">
        <v>20</v>
      </c>
      <c r="AA116" s="21">
        <v>0.84269660000000002</v>
      </c>
      <c r="AB116" t="s">
        <v>20</v>
      </c>
      <c r="AC116" s="21">
        <v>0.47265629999999997</v>
      </c>
      <c r="AD116" t="s">
        <v>20</v>
      </c>
      <c r="AE116" s="21">
        <v>7.8651689999999996E-2</v>
      </c>
      <c r="AF116" t="s">
        <v>20</v>
      </c>
      <c r="AG116" s="21">
        <v>8.8541659999999994E-2</v>
      </c>
      <c r="AJ116" t="str">
        <f>VLOOKUP(Sheet1!W116,'알람 범위'!$D$2:$F$45,3,FALSE)</f>
        <v>13000</v>
      </c>
      <c r="AK116">
        <v>104</v>
      </c>
      <c r="AL116">
        <f t="shared" si="27"/>
        <v>13104</v>
      </c>
      <c r="AM116" t="str">
        <f t="shared" si="13"/>
        <v>SE_OUT_FLIP_P1_VACUUM_OVERLAP</v>
      </c>
    </row>
    <row r="117" spans="1:39" x14ac:dyDescent="0.3">
      <c r="A117">
        <f t="shared" si="26"/>
        <v>13105</v>
      </c>
      <c r="B117" t="s">
        <v>20</v>
      </c>
      <c r="C117" t="s">
        <v>731</v>
      </c>
      <c r="D117" t="s">
        <v>20</v>
      </c>
      <c r="E117" t="s">
        <v>743</v>
      </c>
      <c r="F117" t="s">
        <v>20</v>
      </c>
      <c r="G117" t="s">
        <v>755</v>
      </c>
      <c r="H117" t="s">
        <v>20</v>
      </c>
      <c r="I117" t="s">
        <v>755</v>
      </c>
      <c r="J117" t="s">
        <v>20</v>
      </c>
      <c r="K117" t="s">
        <v>755</v>
      </c>
      <c r="L117" t="s">
        <v>20</v>
      </c>
      <c r="M117" t="s">
        <v>764</v>
      </c>
      <c r="N117" t="s">
        <v>20</v>
      </c>
      <c r="O117" t="s">
        <v>770</v>
      </c>
      <c r="P117" t="s">
        <v>20</v>
      </c>
      <c r="Q117" t="s">
        <v>770</v>
      </c>
      <c r="R117" t="s">
        <v>20</v>
      </c>
      <c r="S117" t="s">
        <v>770</v>
      </c>
      <c r="T117" t="s">
        <v>20</v>
      </c>
      <c r="U117" t="s">
        <v>21</v>
      </c>
      <c r="V117" t="s">
        <v>20</v>
      </c>
      <c r="W117" t="s">
        <v>707</v>
      </c>
      <c r="X117" t="s">
        <v>20</v>
      </c>
      <c r="Y117" t="s">
        <v>19</v>
      </c>
      <c r="Z117" t="s">
        <v>20</v>
      </c>
      <c r="AA117" s="21">
        <v>0.84269660000000002</v>
      </c>
      <c r="AB117" t="s">
        <v>20</v>
      </c>
      <c r="AC117" s="21">
        <v>0.47265629999999997</v>
      </c>
      <c r="AD117" t="s">
        <v>20</v>
      </c>
      <c r="AE117" s="21">
        <v>7.8651689999999996E-2</v>
      </c>
      <c r="AF117" t="s">
        <v>20</v>
      </c>
      <c r="AG117" s="21">
        <v>8.8541659999999994E-2</v>
      </c>
      <c r="AJ117" t="str">
        <f>VLOOKUP(Sheet1!W117,'알람 범위'!$D$2:$F$45,3,FALSE)</f>
        <v>13000</v>
      </c>
      <c r="AK117">
        <v>105</v>
      </c>
      <c r="AL117">
        <f t="shared" si="27"/>
        <v>13105</v>
      </c>
      <c r="AM117" t="str">
        <f t="shared" si="13"/>
        <v>SE_OUT_FLIP_P1_SENSOR_OVERLAP</v>
      </c>
    </row>
    <row r="118" spans="1:39" x14ac:dyDescent="0.3">
      <c r="A118">
        <f t="shared" si="26"/>
        <v>13110</v>
      </c>
      <c r="B118" t="s">
        <v>20</v>
      </c>
      <c r="C118" t="s">
        <v>732</v>
      </c>
      <c r="D118" t="s">
        <v>20</v>
      </c>
      <c r="E118" t="s">
        <v>744</v>
      </c>
      <c r="F118" t="s">
        <v>20</v>
      </c>
      <c r="G118" t="s">
        <v>756</v>
      </c>
      <c r="H118" t="s">
        <v>20</v>
      </c>
      <c r="I118" t="s">
        <v>756</v>
      </c>
      <c r="J118" t="s">
        <v>20</v>
      </c>
      <c r="K118" t="s">
        <v>756</v>
      </c>
      <c r="L118" t="s">
        <v>20</v>
      </c>
      <c r="M118" t="s">
        <v>765</v>
      </c>
      <c r="N118" t="s">
        <v>20</v>
      </c>
      <c r="O118" t="s">
        <v>771</v>
      </c>
      <c r="P118" t="s">
        <v>20</v>
      </c>
      <c r="Q118" t="s">
        <v>771</v>
      </c>
      <c r="R118" t="s">
        <v>20</v>
      </c>
      <c r="S118" t="s">
        <v>771</v>
      </c>
      <c r="T118" t="s">
        <v>20</v>
      </c>
      <c r="U118" t="s">
        <v>21</v>
      </c>
      <c r="V118" t="s">
        <v>20</v>
      </c>
      <c r="W118" t="s">
        <v>707</v>
      </c>
      <c r="X118" t="s">
        <v>20</v>
      </c>
      <c r="Y118" t="s">
        <v>19</v>
      </c>
      <c r="Z118" t="s">
        <v>20</v>
      </c>
      <c r="AA118" s="21">
        <v>0.74959869999999995</v>
      </c>
      <c r="AB118" t="s">
        <v>20</v>
      </c>
      <c r="AC118" s="21">
        <v>0.4765625</v>
      </c>
      <c r="AD118" t="s">
        <v>20</v>
      </c>
      <c r="AE118" s="21">
        <v>8.1861959999999998E-2</v>
      </c>
      <c r="AF118" t="s">
        <v>20</v>
      </c>
      <c r="AG118" s="21">
        <v>8.59375E-2</v>
      </c>
      <c r="AJ118" t="str">
        <f>VLOOKUP(Sheet1!W118,'알람 범위'!$D$2:$F$45,3,FALSE)</f>
        <v>13000</v>
      </c>
      <c r="AK118">
        <v>110</v>
      </c>
      <c r="AL118">
        <f t="shared" si="27"/>
        <v>13110</v>
      </c>
      <c r="AM118" t="str">
        <f t="shared" si="13"/>
        <v>VC_OUT_FLIP_P2_VACUUM</v>
      </c>
    </row>
    <row r="119" spans="1:39" x14ac:dyDescent="0.3">
      <c r="A119">
        <f t="shared" si="26"/>
        <v>13111</v>
      </c>
      <c r="B119" t="s">
        <v>20</v>
      </c>
      <c r="C119" t="s">
        <v>733</v>
      </c>
      <c r="D119" t="s">
        <v>20</v>
      </c>
      <c r="E119" t="s">
        <v>745</v>
      </c>
      <c r="F119" t="s">
        <v>20</v>
      </c>
      <c r="G119" t="s">
        <v>757</v>
      </c>
      <c r="H119" t="s">
        <v>20</v>
      </c>
      <c r="I119" t="s">
        <v>757</v>
      </c>
      <c r="J119" t="s">
        <v>20</v>
      </c>
      <c r="K119" t="s">
        <v>757</v>
      </c>
      <c r="L119" t="s">
        <v>20</v>
      </c>
      <c r="M119" t="s">
        <v>765</v>
      </c>
      <c r="N119" t="s">
        <v>20</v>
      </c>
      <c r="O119" t="s">
        <v>771</v>
      </c>
      <c r="P119" t="s">
        <v>20</v>
      </c>
      <c r="Q119" t="s">
        <v>771</v>
      </c>
      <c r="R119" t="s">
        <v>20</v>
      </c>
      <c r="S119" t="s">
        <v>771</v>
      </c>
      <c r="T119" t="s">
        <v>20</v>
      </c>
      <c r="U119" t="s">
        <v>21</v>
      </c>
      <c r="V119" t="s">
        <v>20</v>
      </c>
      <c r="W119" t="s">
        <v>707</v>
      </c>
      <c r="X119" t="s">
        <v>20</v>
      </c>
      <c r="Y119" t="s">
        <v>19</v>
      </c>
      <c r="Z119" t="s">
        <v>20</v>
      </c>
      <c r="AA119" s="21">
        <v>0.74959869999999995</v>
      </c>
      <c r="AB119" t="s">
        <v>20</v>
      </c>
      <c r="AC119" s="21">
        <v>0.4765625</v>
      </c>
      <c r="AD119" t="s">
        <v>20</v>
      </c>
      <c r="AE119" s="21">
        <v>8.1861959999999998E-2</v>
      </c>
      <c r="AF119" t="s">
        <v>20</v>
      </c>
      <c r="AG119" s="21">
        <v>8.59375E-2</v>
      </c>
      <c r="AJ119" t="str">
        <f>VLOOKUP(Sheet1!W119,'알람 범위'!$D$2:$F$45,3,FALSE)</f>
        <v>13000</v>
      </c>
      <c r="AK119">
        <v>111</v>
      </c>
      <c r="AL119">
        <f t="shared" si="27"/>
        <v>13111</v>
      </c>
      <c r="AM119" t="str">
        <f t="shared" si="13"/>
        <v>VC_OUT_FLIP_P2_BLOW</v>
      </c>
    </row>
    <row r="120" spans="1:39" x14ac:dyDescent="0.3">
      <c r="A120">
        <f t="shared" si="26"/>
        <v>13112</v>
      </c>
      <c r="B120" t="s">
        <v>20</v>
      </c>
      <c r="C120" t="s">
        <v>734</v>
      </c>
      <c r="D120" t="s">
        <v>20</v>
      </c>
      <c r="E120" t="s">
        <v>746</v>
      </c>
      <c r="F120" t="s">
        <v>20</v>
      </c>
      <c r="G120" t="s">
        <v>758</v>
      </c>
      <c r="H120" t="s">
        <v>20</v>
      </c>
      <c r="I120" t="s">
        <v>758</v>
      </c>
      <c r="J120" t="s">
        <v>20</v>
      </c>
      <c r="K120" t="s">
        <v>758</v>
      </c>
      <c r="L120" t="s">
        <v>20</v>
      </c>
      <c r="M120" t="s">
        <v>766</v>
      </c>
      <c r="N120" t="s">
        <v>20</v>
      </c>
      <c r="O120" t="s">
        <v>772</v>
      </c>
      <c r="P120" t="s">
        <v>20</v>
      </c>
      <c r="Q120" t="s">
        <v>772</v>
      </c>
      <c r="R120" t="s">
        <v>20</v>
      </c>
      <c r="S120" t="s">
        <v>772</v>
      </c>
      <c r="T120" t="s">
        <v>20</v>
      </c>
      <c r="U120" t="s">
        <v>21</v>
      </c>
      <c r="V120" t="s">
        <v>20</v>
      </c>
      <c r="W120" t="s">
        <v>707</v>
      </c>
      <c r="X120" t="s">
        <v>20</v>
      </c>
      <c r="Y120" t="s">
        <v>19</v>
      </c>
      <c r="Z120" t="s">
        <v>20</v>
      </c>
      <c r="AA120" s="21">
        <v>0.74959869999999995</v>
      </c>
      <c r="AB120" t="s">
        <v>20</v>
      </c>
      <c r="AC120" s="21">
        <v>0.4765625</v>
      </c>
      <c r="AD120" t="s">
        <v>20</v>
      </c>
      <c r="AE120" s="21">
        <v>8.1861959999999998E-2</v>
      </c>
      <c r="AF120" t="s">
        <v>20</v>
      </c>
      <c r="AG120" s="21">
        <v>8.59375E-2</v>
      </c>
      <c r="AJ120" t="str">
        <f>VLOOKUP(Sheet1!W120,'알람 범위'!$D$2:$F$45,3,FALSE)</f>
        <v>13000</v>
      </c>
      <c r="AK120">
        <v>112</v>
      </c>
      <c r="AL120">
        <f t="shared" si="27"/>
        <v>13112</v>
      </c>
      <c r="AM120" t="str">
        <f t="shared" si="13"/>
        <v>SE_OUT_FLIP_P2_VACUUM_CHECK</v>
      </c>
    </row>
    <row r="121" spans="1:39" x14ac:dyDescent="0.3">
      <c r="A121">
        <f t="shared" si="26"/>
        <v>13113</v>
      </c>
      <c r="B121" t="s">
        <v>20</v>
      </c>
      <c r="C121" t="s">
        <v>735</v>
      </c>
      <c r="D121" t="s">
        <v>20</v>
      </c>
      <c r="E121" t="s">
        <v>747</v>
      </c>
      <c r="F121" t="s">
        <v>20</v>
      </c>
      <c r="G121" t="s">
        <v>759</v>
      </c>
      <c r="H121" t="s">
        <v>20</v>
      </c>
      <c r="I121" t="s">
        <v>759</v>
      </c>
      <c r="J121" t="s">
        <v>20</v>
      </c>
      <c r="K121" t="s">
        <v>759</v>
      </c>
      <c r="L121" t="s">
        <v>20</v>
      </c>
      <c r="M121" t="s">
        <v>767</v>
      </c>
      <c r="N121" t="s">
        <v>20</v>
      </c>
      <c r="O121" t="s">
        <v>773</v>
      </c>
      <c r="P121" t="s">
        <v>20</v>
      </c>
      <c r="Q121" t="s">
        <v>773</v>
      </c>
      <c r="R121" t="s">
        <v>20</v>
      </c>
      <c r="S121" t="s">
        <v>773</v>
      </c>
      <c r="T121" t="s">
        <v>20</v>
      </c>
      <c r="U121" t="s">
        <v>21</v>
      </c>
      <c r="V121" t="s">
        <v>20</v>
      </c>
      <c r="W121" t="s">
        <v>707</v>
      </c>
      <c r="X121" t="s">
        <v>20</v>
      </c>
      <c r="Y121" t="s">
        <v>19</v>
      </c>
      <c r="Z121" t="s">
        <v>20</v>
      </c>
      <c r="AA121" s="21">
        <v>0.74959869999999995</v>
      </c>
      <c r="AB121" t="s">
        <v>20</v>
      </c>
      <c r="AC121" s="21">
        <v>0.4765625</v>
      </c>
      <c r="AD121" t="s">
        <v>20</v>
      </c>
      <c r="AE121" s="21">
        <v>8.1861959999999998E-2</v>
      </c>
      <c r="AF121" t="s">
        <v>20</v>
      </c>
      <c r="AG121" s="21">
        <v>8.59375E-2</v>
      </c>
      <c r="AJ121" t="str">
        <f>VLOOKUP(Sheet1!W121,'알람 범위'!$D$2:$F$45,3,FALSE)</f>
        <v>13000</v>
      </c>
      <c r="AK121">
        <v>113</v>
      </c>
      <c r="AL121">
        <f t="shared" si="27"/>
        <v>13113</v>
      </c>
      <c r="AM121" t="str">
        <f t="shared" si="13"/>
        <v>SE_OUT_FLIP_P2_SENSOR_CHECK</v>
      </c>
    </row>
    <row r="122" spans="1:39" x14ac:dyDescent="0.3">
      <c r="A122">
        <f t="shared" si="26"/>
        <v>13114</v>
      </c>
      <c r="B122" t="s">
        <v>20</v>
      </c>
      <c r="C122" t="s">
        <v>736</v>
      </c>
      <c r="D122" t="s">
        <v>20</v>
      </c>
      <c r="E122" t="s">
        <v>748</v>
      </c>
      <c r="F122" t="s">
        <v>20</v>
      </c>
      <c r="G122" t="s">
        <v>760</v>
      </c>
      <c r="H122" t="s">
        <v>20</v>
      </c>
      <c r="I122" t="s">
        <v>760</v>
      </c>
      <c r="J122" t="s">
        <v>20</v>
      </c>
      <c r="K122" t="s">
        <v>760</v>
      </c>
      <c r="L122" t="s">
        <v>20</v>
      </c>
      <c r="M122" t="s">
        <v>766</v>
      </c>
      <c r="N122" t="s">
        <v>20</v>
      </c>
      <c r="O122" t="s">
        <v>772</v>
      </c>
      <c r="P122" t="s">
        <v>20</v>
      </c>
      <c r="Q122" t="s">
        <v>772</v>
      </c>
      <c r="R122" t="s">
        <v>20</v>
      </c>
      <c r="S122" t="s">
        <v>772</v>
      </c>
      <c r="T122" t="s">
        <v>20</v>
      </c>
      <c r="U122" t="s">
        <v>21</v>
      </c>
      <c r="V122" t="s">
        <v>20</v>
      </c>
      <c r="W122" t="s">
        <v>707</v>
      </c>
      <c r="X122" t="s">
        <v>20</v>
      </c>
      <c r="Y122" t="s">
        <v>19</v>
      </c>
      <c r="Z122" t="s">
        <v>20</v>
      </c>
      <c r="AA122" s="21">
        <v>0.74959869999999995</v>
      </c>
      <c r="AB122" t="s">
        <v>20</v>
      </c>
      <c r="AC122" s="21">
        <v>0.4765625</v>
      </c>
      <c r="AD122" t="s">
        <v>20</v>
      </c>
      <c r="AE122" s="21">
        <v>8.1861959999999998E-2</v>
      </c>
      <c r="AF122" t="s">
        <v>20</v>
      </c>
      <c r="AG122" s="21">
        <v>8.59375E-2</v>
      </c>
      <c r="AJ122" t="str">
        <f>VLOOKUP(Sheet1!W122,'알람 범위'!$D$2:$F$45,3,FALSE)</f>
        <v>13000</v>
      </c>
      <c r="AK122">
        <v>114</v>
      </c>
      <c r="AL122">
        <f t="shared" si="27"/>
        <v>13114</v>
      </c>
      <c r="AM122" t="str">
        <f t="shared" si="13"/>
        <v>SE_OUT_FLIP_P2_VACUUM_OVERLAP</v>
      </c>
    </row>
    <row r="123" spans="1:39" x14ac:dyDescent="0.3">
      <c r="A123">
        <f t="shared" si="26"/>
        <v>13115</v>
      </c>
      <c r="B123" t="s">
        <v>20</v>
      </c>
      <c r="C123" t="s">
        <v>737</v>
      </c>
      <c r="D123" t="s">
        <v>20</v>
      </c>
      <c r="E123" t="s">
        <v>749</v>
      </c>
      <c r="F123" t="s">
        <v>20</v>
      </c>
      <c r="G123" t="s">
        <v>761</v>
      </c>
      <c r="H123" t="s">
        <v>20</v>
      </c>
      <c r="I123" t="s">
        <v>761</v>
      </c>
      <c r="J123" t="s">
        <v>20</v>
      </c>
      <c r="K123" t="s">
        <v>761</v>
      </c>
      <c r="L123" t="s">
        <v>20</v>
      </c>
      <c r="M123" t="s">
        <v>767</v>
      </c>
      <c r="N123" t="s">
        <v>20</v>
      </c>
      <c r="O123" t="s">
        <v>773</v>
      </c>
      <c r="P123" t="s">
        <v>20</v>
      </c>
      <c r="Q123" t="s">
        <v>773</v>
      </c>
      <c r="R123" t="s">
        <v>20</v>
      </c>
      <c r="S123" t="s">
        <v>773</v>
      </c>
      <c r="T123" t="s">
        <v>20</v>
      </c>
      <c r="U123" t="s">
        <v>21</v>
      </c>
      <c r="V123" t="s">
        <v>20</v>
      </c>
      <c r="W123" t="s">
        <v>707</v>
      </c>
      <c r="X123" t="s">
        <v>20</v>
      </c>
      <c r="Y123" t="s">
        <v>19</v>
      </c>
      <c r="Z123" t="s">
        <v>20</v>
      </c>
      <c r="AA123" s="21">
        <v>0.74959869999999995</v>
      </c>
      <c r="AB123" t="s">
        <v>20</v>
      </c>
      <c r="AC123" s="21">
        <v>0.4765625</v>
      </c>
      <c r="AD123" t="s">
        <v>20</v>
      </c>
      <c r="AE123" s="21">
        <v>8.1861959999999998E-2</v>
      </c>
      <c r="AF123" t="s">
        <v>20</v>
      </c>
      <c r="AG123" s="21">
        <v>8.59375E-2</v>
      </c>
      <c r="AJ123" t="str">
        <f>VLOOKUP(Sheet1!W123,'알람 범위'!$D$2:$F$45,3,FALSE)</f>
        <v>13000</v>
      </c>
      <c r="AK123">
        <v>115</v>
      </c>
      <c r="AL123">
        <f t="shared" si="27"/>
        <v>13115</v>
      </c>
      <c r="AM123" t="str">
        <f t="shared" si="13"/>
        <v>SE_OUT_FLIP_P2_SENSOR_OVERLAP</v>
      </c>
    </row>
    <row r="124" spans="1:39" x14ac:dyDescent="0.3">
      <c r="A124">
        <f t="shared" ref="A124:A126" si="28">AL124</f>
        <v>13500</v>
      </c>
      <c r="B124" t="s">
        <v>20</v>
      </c>
      <c r="C124" t="s">
        <v>991</v>
      </c>
      <c r="D124" t="s">
        <v>20</v>
      </c>
      <c r="E124" t="s">
        <v>994</v>
      </c>
      <c r="F124" t="s">
        <v>20</v>
      </c>
      <c r="G124" t="s">
        <v>997</v>
      </c>
      <c r="H124" t="s">
        <v>20</v>
      </c>
      <c r="I124" t="s">
        <v>997</v>
      </c>
      <c r="J124" t="s">
        <v>20</v>
      </c>
      <c r="K124" s="19" t="s">
        <v>988</v>
      </c>
      <c r="L124" t="s">
        <v>20</v>
      </c>
      <c r="M124" t="s">
        <v>999</v>
      </c>
      <c r="N124" t="s">
        <v>20</v>
      </c>
      <c r="O124" t="s">
        <v>1001</v>
      </c>
      <c r="P124" t="s">
        <v>20</v>
      </c>
      <c r="Q124" t="s">
        <v>1001</v>
      </c>
      <c r="R124" t="s">
        <v>20</v>
      </c>
      <c r="S124" s="19" t="s">
        <v>1003</v>
      </c>
      <c r="T124" t="s">
        <v>20</v>
      </c>
      <c r="U124" t="s">
        <v>21</v>
      </c>
      <c r="V124" t="s">
        <v>20</v>
      </c>
      <c r="W124" t="s">
        <v>722</v>
      </c>
      <c r="X124" t="s">
        <v>20</v>
      </c>
      <c r="Y124" t="s">
        <v>19</v>
      </c>
      <c r="Z124" t="s">
        <v>20</v>
      </c>
      <c r="AA124" s="21">
        <v>0.72712679999999996</v>
      </c>
      <c r="AB124" t="s">
        <v>20</v>
      </c>
      <c r="AC124" s="21">
        <v>0.43619790000000003</v>
      </c>
      <c r="AD124" t="s">
        <v>20</v>
      </c>
      <c r="AE124" s="21">
        <v>0.2343499</v>
      </c>
      <c r="AF124" t="s">
        <v>20</v>
      </c>
      <c r="AG124" s="21">
        <v>0.1640625</v>
      </c>
      <c r="AJ124" t="str">
        <f>VLOOKUP(Sheet1!W124,'알람 범위'!$D$2:$F$45,3,FALSE)</f>
        <v>13500</v>
      </c>
      <c r="AK124">
        <v>0</v>
      </c>
      <c r="AL124">
        <f t="shared" ref="AL124:AL126" si="29">AJ124+AK124</f>
        <v>13500</v>
      </c>
      <c r="AM124" t="str">
        <f t="shared" si="13"/>
        <v>MO_UNLOADER_CONVEYOR_X2_HOME_MOTION</v>
      </c>
    </row>
    <row r="125" spans="1:39" x14ac:dyDescent="0.3">
      <c r="A125">
        <f t="shared" si="28"/>
        <v>13501</v>
      </c>
      <c r="B125" t="s">
        <v>20</v>
      </c>
      <c r="C125" t="s">
        <v>992</v>
      </c>
      <c r="D125" t="s">
        <v>20</v>
      </c>
      <c r="E125" t="s">
        <v>995</v>
      </c>
      <c r="F125" t="s">
        <v>20</v>
      </c>
      <c r="G125" t="s">
        <v>990</v>
      </c>
      <c r="H125" t="s">
        <v>20</v>
      </c>
      <c r="I125" t="s">
        <v>990</v>
      </c>
      <c r="J125" t="s">
        <v>20</v>
      </c>
      <c r="K125" t="s">
        <v>990</v>
      </c>
      <c r="L125" t="s">
        <v>20</v>
      </c>
      <c r="M125" t="s">
        <v>1000</v>
      </c>
      <c r="N125" t="s">
        <v>20</v>
      </c>
      <c r="O125" t="s">
        <v>1002</v>
      </c>
      <c r="P125" t="s">
        <v>20</v>
      </c>
      <c r="Q125" t="s">
        <v>1002</v>
      </c>
      <c r="R125" t="s">
        <v>20</v>
      </c>
      <c r="S125" s="19" t="s">
        <v>1005</v>
      </c>
      <c r="T125" t="s">
        <v>20</v>
      </c>
      <c r="U125" t="s">
        <v>21</v>
      </c>
      <c r="V125" t="s">
        <v>20</v>
      </c>
      <c r="W125" t="s">
        <v>722</v>
      </c>
      <c r="X125" t="s">
        <v>20</v>
      </c>
      <c r="Y125" t="s">
        <v>19</v>
      </c>
      <c r="Z125" t="s">
        <v>20</v>
      </c>
      <c r="AA125" s="21">
        <v>0.72712679999999996</v>
      </c>
      <c r="AB125" t="s">
        <v>20</v>
      </c>
      <c r="AC125" s="21">
        <v>0.43619790000000003</v>
      </c>
      <c r="AD125" t="s">
        <v>20</v>
      </c>
      <c r="AE125" s="21">
        <v>0.2343499</v>
      </c>
      <c r="AF125" t="s">
        <v>20</v>
      </c>
      <c r="AG125" s="21">
        <v>0.1640625</v>
      </c>
      <c r="AJ125" t="str">
        <f>VLOOKUP(Sheet1!W125,'알람 범위'!$D$2:$F$45,3,FALSE)</f>
        <v>13500</v>
      </c>
      <c r="AK125">
        <v>1</v>
      </c>
      <c r="AL125">
        <f t="shared" si="29"/>
        <v>13501</v>
      </c>
      <c r="AM125" t="str">
        <f t="shared" si="13"/>
        <v>MO_UNLOADER_CONVEYOR_X2_POSITION_RESET</v>
      </c>
    </row>
    <row r="126" spans="1:39" x14ac:dyDescent="0.3">
      <c r="A126">
        <f t="shared" si="28"/>
        <v>13502</v>
      </c>
      <c r="B126" t="s">
        <v>20</v>
      </c>
      <c r="C126" t="s">
        <v>993</v>
      </c>
      <c r="D126" t="s">
        <v>20</v>
      </c>
      <c r="E126" t="s">
        <v>996</v>
      </c>
      <c r="F126" t="s">
        <v>20</v>
      </c>
      <c r="G126" t="s">
        <v>998</v>
      </c>
      <c r="H126" t="s">
        <v>20</v>
      </c>
      <c r="I126" t="s">
        <v>998</v>
      </c>
      <c r="J126" t="s">
        <v>20</v>
      </c>
      <c r="K126" s="19" t="s">
        <v>989</v>
      </c>
      <c r="L126" t="s">
        <v>20</v>
      </c>
      <c r="M126" t="s">
        <v>1000</v>
      </c>
      <c r="N126" t="s">
        <v>20</v>
      </c>
      <c r="O126" t="s">
        <v>1002</v>
      </c>
      <c r="P126" t="s">
        <v>20</v>
      </c>
      <c r="Q126" t="s">
        <v>1002</v>
      </c>
      <c r="R126" t="s">
        <v>20</v>
      </c>
      <c r="S126" s="19" t="s">
        <v>1004</v>
      </c>
      <c r="T126" t="s">
        <v>20</v>
      </c>
      <c r="U126" t="s">
        <v>21</v>
      </c>
      <c r="V126" t="s">
        <v>20</v>
      </c>
      <c r="W126" t="s">
        <v>722</v>
      </c>
      <c r="X126" t="s">
        <v>20</v>
      </c>
      <c r="Y126" t="s">
        <v>19</v>
      </c>
      <c r="Z126" t="s">
        <v>20</v>
      </c>
      <c r="AA126" s="21">
        <v>0.72712679999999996</v>
      </c>
      <c r="AB126" t="s">
        <v>20</v>
      </c>
      <c r="AC126" s="21">
        <v>0.43619790000000003</v>
      </c>
      <c r="AD126" t="s">
        <v>20</v>
      </c>
      <c r="AE126" s="21">
        <v>0.2343499</v>
      </c>
      <c r="AF126" t="s">
        <v>20</v>
      </c>
      <c r="AG126" s="21">
        <v>0.1640625</v>
      </c>
      <c r="AJ126" t="str">
        <f>VLOOKUP(Sheet1!W126,'알람 범위'!$D$2:$F$45,3,FALSE)</f>
        <v>13500</v>
      </c>
      <c r="AK126">
        <v>2</v>
      </c>
      <c r="AL126">
        <f t="shared" si="29"/>
        <v>13502</v>
      </c>
      <c r="AM126" t="str">
        <f t="shared" si="13"/>
        <v>MO_UNLOADER_CONVEYOR_X2_UNLOAD_MOVE</v>
      </c>
    </row>
    <row r="127" spans="1:39" x14ac:dyDescent="0.3">
      <c r="A127">
        <f t="shared" ref="A127" si="30">AL127</f>
        <v>13503</v>
      </c>
      <c r="B127" t="s">
        <v>20</v>
      </c>
      <c r="C127" t="s">
        <v>777</v>
      </c>
      <c r="D127" t="s">
        <v>20</v>
      </c>
      <c r="E127" t="s">
        <v>776</v>
      </c>
      <c r="F127" t="s">
        <v>20</v>
      </c>
      <c r="G127" t="s">
        <v>778</v>
      </c>
      <c r="H127" t="s">
        <v>20</v>
      </c>
      <c r="I127" t="s">
        <v>778</v>
      </c>
      <c r="J127" t="s">
        <v>20</v>
      </c>
      <c r="K127" t="s">
        <v>778</v>
      </c>
      <c r="L127" t="s">
        <v>20</v>
      </c>
      <c r="M127" t="s">
        <v>723</v>
      </c>
      <c r="N127" t="s">
        <v>20</v>
      </c>
      <c r="O127" t="s">
        <v>725</v>
      </c>
      <c r="P127" t="s">
        <v>20</v>
      </c>
      <c r="Q127" t="s">
        <v>725</v>
      </c>
      <c r="R127" t="s">
        <v>20</v>
      </c>
      <c r="S127" t="s">
        <v>725</v>
      </c>
      <c r="T127" t="s">
        <v>20</v>
      </c>
      <c r="U127" t="s">
        <v>21</v>
      </c>
      <c r="V127" t="s">
        <v>20</v>
      </c>
      <c r="W127" t="s">
        <v>722</v>
      </c>
      <c r="X127" t="s">
        <v>20</v>
      </c>
      <c r="Y127" t="s">
        <v>19</v>
      </c>
      <c r="Z127" t="s">
        <v>20</v>
      </c>
      <c r="AA127" s="21">
        <v>0.74959869999999995</v>
      </c>
      <c r="AB127" t="s">
        <v>20</v>
      </c>
      <c r="AC127" s="21">
        <v>0.47005209999999997</v>
      </c>
      <c r="AD127" t="s">
        <v>20</v>
      </c>
      <c r="AE127" s="21">
        <v>0.1733547</v>
      </c>
      <c r="AF127" t="s">
        <v>20</v>
      </c>
      <c r="AG127" s="21">
        <v>9.765625E-2</v>
      </c>
      <c r="AJ127" t="str">
        <f>VLOOKUP(Sheet1!W127,'알람 범위'!$D$2:$F$45,3,FALSE)</f>
        <v>13500</v>
      </c>
      <c r="AK127">
        <v>3</v>
      </c>
      <c r="AL127">
        <f t="shared" ref="AL127" si="31">AJ127+AK127</f>
        <v>13503</v>
      </c>
      <c r="AM127" t="str">
        <f t="shared" si="13"/>
        <v>SE_UNLOADER_CONVEYOR_N_CELL_EXIST_CHECK</v>
      </c>
    </row>
    <row r="128" spans="1:39" x14ac:dyDescent="0.3">
      <c r="A128">
        <f t="shared" ref="A128" si="32">AL128</f>
        <v>13504</v>
      </c>
      <c r="B128" t="s">
        <v>20</v>
      </c>
      <c r="C128" t="s">
        <v>779</v>
      </c>
      <c r="D128" t="s">
        <v>20</v>
      </c>
      <c r="E128" t="s">
        <v>774</v>
      </c>
      <c r="F128" t="s">
        <v>20</v>
      </c>
      <c r="G128" t="s">
        <v>775</v>
      </c>
      <c r="H128" t="s">
        <v>20</v>
      </c>
      <c r="I128" t="s">
        <v>775</v>
      </c>
      <c r="J128" t="s">
        <v>20</v>
      </c>
      <c r="K128" t="s">
        <v>775</v>
      </c>
      <c r="L128" t="s">
        <v>20</v>
      </c>
      <c r="M128" t="s">
        <v>724</v>
      </c>
      <c r="N128" t="s">
        <v>20</v>
      </c>
      <c r="O128" t="s">
        <v>725</v>
      </c>
      <c r="P128" t="s">
        <v>20</v>
      </c>
      <c r="Q128" t="s">
        <v>725</v>
      </c>
      <c r="R128" t="s">
        <v>20</v>
      </c>
      <c r="S128" t="s">
        <v>725</v>
      </c>
      <c r="T128" t="s">
        <v>20</v>
      </c>
      <c r="U128" t="s">
        <v>21</v>
      </c>
      <c r="V128" t="s">
        <v>20</v>
      </c>
      <c r="W128" t="s">
        <v>722</v>
      </c>
      <c r="X128" t="s">
        <v>20</v>
      </c>
      <c r="Y128" t="s">
        <v>19</v>
      </c>
      <c r="Z128" t="s">
        <v>20</v>
      </c>
      <c r="AA128" s="21">
        <v>0.91011240000000004</v>
      </c>
      <c r="AB128" t="s">
        <v>20</v>
      </c>
      <c r="AC128" s="21">
        <v>0.43098959999999997</v>
      </c>
      <c r="AD128" t="s">
        <v>20</v>
      </c>
      <c r="AE128" s="21">
        <v>4.9759230000000002E-2</v>
      </c>
      <c r="AF128" t="s">
        <v>20</v>
      </c>
      <c r="AG128" s="21">
        <v>0.1731771</v>
      </c>
      <c r="AJ128" t="str">
        <f>VLOOKUP(Sheet1!W128,'알람 범위'!$D$2:$F$45,3,FALSE)</f>
        <v>13500</v>
      </c>
      <c r="AK128">
        <v>4</v>
      </c>
      <c r="AL128">
        <f t="shared" ref="AL128" si="33">AJ128+AK128</f>
        <v>13504</v>
      </c>
      <c r="AM128" t="str">
        <f t="shared" si="13"/>
        <v>SE_UNLOADER_CONVEYOR_N_OUTPUT_BLOCKED_CHECK</v>
      </c>
    </row>
    <row r="129" spans="1:39" x14ac:dyDescent="0.3">
      <c r="A129">
        <f t="shared" ref="A129:A131" si="34">AL129</f>
        <v>13505</v>
      </c>
      <c r="B129" t="s">
        <v>20</v>
      </c>
      <c r="C129" t="s">
        <v>783</v>
      </c>
      <c r="D129" t="s">
        <v>20</v>
      </c>
      <c r="E129" t="s">
        <v>780</v>
      </c>
      <c r="F129" t="s">
        <v>20</v>
      </c>
      <c r="G129" t="s">
        <v>785</v>
      </c>
      <c r="H129" t="s">
        <v>20</v>
      </c>
      <c r="I129" t="s">
        <v>785</v>
      </c>
      <c r="J129" t="s">
        <v>20</v>
      </c>
      <c r="K129" t="s">
        <v>785</v>
      </c>
      <c r="L129" t="s">
        <v>20</v>
      </c>
      <c r="M129" t="s">
        <v>724</v>
      </c>
      <c r="N129" t="s">
        <v>20</v>
      </c>
      <c r="O129" t="s">
        <v>725</v>
      </c>
      <c r="P129" t="s">
        <v>20</v>
      </c>
      <c r="Q129" t="s">
        <v>725</v>
      </c>
      <c r="R129" t="s">
        <v>20</v>
      </c>
      <c r="S129" t="s">
        <v>725</v>
      </c>
      <c r="T129" t="s">
        <v>20</v>
      </c>
      <c r="U129" t="s">
        <v>21</v>
      </c>
      <c r="V129" t="s">
        <v>20</v>
      </c>
      <c r="W129" t="s">
        <v>722</v>
      </c>
      <c r="X129" t="s">
        <v>20</v>
      </c>
      <c r="Y129" t="s">
        <v>19</v>
      </c>
      <c r="Z129" t="s">
        <v>20</v>
      </c>
      <c r="AA129" s="21">
        <v>0.84269660000000002</v>
      </c>
      <c r="AB129" t="s">
        <v>20</v>
      </c>
      <c r="AC129" s="21">
        <v>0.47265629999999997</v>
      </c>
      <c r="AD129" t="s">
        <v>20</v>
      </c>
      <c r="AE129" s="21">
        <v>7.8651689999999996E-2</v>
      </c>
      <c r="AF129" t="s">
        <v>20</v>
      </c>
      <c r="AG129" s="21">
        <v>8.8541659999999994E-2</v>
      </c>
      <c r="AJ129" t="str">
        <f>VLOOKUP(Sheet1!W129,'알람 범위'!$D$2:$F$45,3,FALSE)</f>
        <v>13500</v>
      </c>
      <c r="AK129">
        <v>5</v>
      </c>
      <c r="AL129">
        <f t="shared" ref="AL129:AL131" si="35">AJ129+AK129</f>
        <v>13505</v>
      </c>
      <c r="AM129" t="str">
        <f t="shared" si="13"/>
        <v>SE_UNLOADER_CONVEYOR_P1_CELL_NOT_EXIST_CHECK</v>
      </c>
    </row>
    <row r="130" spans="1:39" x14ac:dyDescent="0.3">
      <c r="A130">
        <f t="shared" si="34"/>
        <v>13506</v>
      </c>
      <c r="B130" t="s">
        <v>20</v>
      </c>
      <c r="C130" t="s">
        <v>782</v>
      </c>
      <c r="D130" t="s">
        <v>20</v>
      </c>
      <c r="E130" t="s">
        <v>781</v>
      </c>
      <c r="F130" t="s">
        <v>20</v>
      </c>
      <c r="G130" t="s">
        <v>786</v>
      </c>
      <c r="H130" t="s">
        <v>20</v>
      </c>
      <c r="I130" t="s">
        <v>786</v>
      </c>
      <c r="J130" t="s">
        <v>20</v>
      </c>
      <c r="K130" t="s">
        <v>786</v>
      </c>
      <c r="L130" t="s">
        <v>20</v>
      </c>
      <c r="M130" t="s">
        <v>724</v>
      </c>
      <c r="N130" t="s">
        <v>20</v>
      </c>
      <c r="O130" t="s">
        <v>725</v>
      </c>
      <c r="P130" t="s">
        <v>20</v>
      </c>
      <c r="Q130" t="s">
        <v>725</v>
      </c>
      <c r="R130" t="s">
        <v>20</v>
      </c>
      <c r="S130" t="s">
        <v>725</v>
      </c>
      <c r="T130" t="s">
        <v>20</v>
      </c>
      <c r="U130" t="s">
        <v>21</v>
      </c>
      <c r="V130" t="s">
        <v>20</v>
      </c>
      <c r="W130" t="s">
        <v>722</v>
      </c>
      <c r="X130" t="s">
        <v>20</v>
      </c>
      <c r="Y130" t="s">
        <v>19</v>
      </c>
      <c r="Z130" t="s">
        <v>20</v>
      </c>
      <c r="AA130" s="21">
        <v>0.74959869999999995</v>
      </c>
      <c r="AB130" t="s">
        <v>20</v>
      </c>
      <c r="AC130" s="21">
        <v>0.4739583</v>
      </c>
      <c r="AD130" t="s">
        <v>20</v>
      </c>
      <c r="AE130" s="21">
        <v>8.0256820000000006E-2</v>
      </c>
      <c r="AF130" t="s">
        <v>20</v>
      </c>
      <c r="AG130" s="21">
        <v>8.8541659999999994E-2</v>
      </c>
      <c r="AJ130" t="str">
        <f>VLOOKUP(Sheet1!W130,'알람 범위'!$D$2:$F$45,3,FALSE)</f>
        <v>13500</v>
      </c>
      <c r="AK130">
        <v>6</v>
      </c>
      <c r="AL130">
        <f t="shared" si="35"/>
        <v>13506</v>
      </c>
      <c r="AM130" t="str">
        <f t="shared" ref="AM130:AM193" si="36">C130</f>
        <v>SE_UNLOADER_CONVEYOR_P2_CELL_NOT_EXIST_CHECK</v>
      </c>
    </row>
    <row r="131" spans="1:39" x14ac:dyDescent="0.3">
      <c r="A131">
        <f t="shared" si="34"/>
        <v>13507</v>
      </c>
      <c r="B131" t="s">
        <v>20</v>
      </c>
      <c r="C131" t="s">
        <v>784</v>
      </c>
      <c r="D131" t="s">
        <v>20</v>
      </c>
      <c r="E131" t="s">
        <v>788</v>
      </c>
      <c r="F131" t="s">
        <v>20</v>
      </c>
      <c r="G131" t="s">
        <v>787</v>
      </c>
      <c r="H131" t="s">
        <v>20</v>
      </c>
      <c r="I131" t="s">
        <v>787</v>
      </c>
      <c r="J131" t="s">
        <v>20</v>
      </c>
      <c r="K131" t="s">
        <v>787</v>
      </c>
      <c r="L131" t="s">
        <v>20</v>
      </c>
      <c r="M131" t="s">
        <v>724</v>
      </c>
      <c r="N131" t="s">
        <v>20</v>
      </c>
      <c r="O131" t="s">
        <v>725</v>
      </c>
      <c r="P131" t="s">
        <v>20</v>
      </c>
      <c r="Q131" t="s">
        <v>725</v>
      </c>
      <c r="R131" t="s">
        <v>20</v>
      </c>
      <c r="S131" t="s">
        <v>725</v>
      </c>
      <c r="T131" t="s">
        <v>20</v>
      </c>
      <c r="U131" t="s">
        <v>21</v>
      </c>
      <c r="V131" t="s">
        <v>20</v>
      </c>
      <c r="W131" t="s">
        <v>722</v>
      </c>
      <c r="X131" t="s">
        <v>20</v>
      </c>
      <c r="Y131" t="s">
        <v>19</v>
      </c>
      <c r="Z131" t="s">
        <v>20</v>
      </c>
      <c r="AA131" s="21">
        <v>0.74959869999999995</v>
      </c>
      <c r="AB131" t="s">
        <v>20</v>
      </c>
      <c r="AC131" s="21">
        <v>0.47005209999999997</v>
      </c>
      <c r="AD131" t="s">
        <v>20</v>
      </c>
      <c r="AE131" s="21">
        <v>0.1733547</v>
      </c>
      <c r="AF131" t="s">
        <v>20</v>
      </c>
      <c r="AG131" s="21">
        <v>9.765625E-2</v>
      </c>
      <c r="AJ131" t="str">
        <f>VLOOKUP(Sheet1!W131,'알람 범위'!$D$2:$F$45,3,FALSE)</f>
        <v>13500</v>
      </c>
      <c r="AK131">
        <v>7</v>
      </c>
      <c r="AL131">
        <f t="shared" si="35"/>
        <v>13507</v>
      </c>
      <c r="AM131" t="str">
        <f t="shared" si="36"/>
        <v>SE_UNLOADER_CONVEYOR_ALL_CELL_NOT_EXIST_CHECK</v>
      </c>
    </row>
    <row r="132" spans="1:39" x14ac:dyDescent="0.3">
      <c r="A132">
        <f t="shared" ref="A132:A136" si="37">AL132</f>
        <v>14000</v>
      </c>
      <c r="B132" t="s">
        <v>20</v>
      </c>
      <c r="C132" t="s">
        <v>106</v>
      </c>
      <c r="D132" t="s">
        <v>20</v>
      </c>
      <c r="E132" t="s">
        <v>476</v>
      </c>
      <c r="F132" t="s">
        <v>20</v>
      </c>
      <c r="G132" t="s">
        <v>192</v>
      </c>
      <c r="H132" t="s">
        <v>20</v>
      </c>
      <c r="I132" t="s">
        <v>193</v>
      </c>
      <c r="J132" t="s">
        <v>20</v>
      </c>
      <c r="K132" t="s">
        <v>192</v>
      </c>
      <c r="L132" t="s">
        <v>20</v>
      </c>
      <c r="M132" t="s">
        <v>194</v>
      </c>
      <c r="N132" t="s">
        <v>20</v>
      </c>
      <c r="O132" t="s">
        <v>17</v>
      </c>
      <c r="P132" t="s">
        <v>20</v>
      </c>
      <c r="Q132" t="s">
        <v>17</v>
      </c>
      <c r="R132" t="s">
        <v>20</v>
      </c>
      <c r="S132" t="s">
        <v>69</v>
      </c>
      <c r="T132" t="s">
        <v>20</v>
      </c>
      <c r="U132" t="s">
        <v>21</v>
      </c>
      <c r="V132" t="s">
        <v>20</v>
      </c>
      <c r="W132" t="s">
        <v>195</v>
      </c>
      <c r="X132" t="s">
        <v>20</v>
      </c>
      <c r="Y132" t="s">
        <v>19</v>
      </c>
      <c r="Z132" t="s">
        <v>20</v>
      </c>
      <c r="AA132" s="21">
        <v>0.93900479999999997</v>
      </c>
      <c r="AB132" t="s">
        <v>20</v>
      </c>
      <c r="AC132" s="21">
        <v>3.125E-2</v>
      </c>
      <c r="AD132" t="s">
        <v>20</v>
      </c>
      <c r="AE132" s="21">
        <v>5.1364369999999999E-2</v>
      </c>
      <c r="AF132" t="s">
        <v>20</v>
      </c>
      <c r="AG132" s="21">
        <v>0.94010419999999995</v>
      </c>
      <c r="AJ132" t="str">
        <f>VLOOKUP(Sheet1!W132,'알람 범위'!$D$2:$F$45,3,FALSE)</f>
        <v>14000</v>
      </c>
      <c r="AK132">
        <v>0</v>
      </c>
      <c r="AL132">
        <f t="shared" ref="AL132:AL136" si="38">AJ132+AK132</f>
        <v>14000</v>
      </c>
      <c r="AM132" t="str">
        <f t="shared" si="36"/>
        <v>EM_LOWER_EQUIPMENT_N_EMERGENCY_STATE</v>
      </c>
    </row>
    <row r="133" spans="1:39" x14ac:dyDescent="0.3">
      <c r="A133">
        <f t="shared" si="37"/>
        <v>14001</v>
      </c>
      <c r="B133" t="s">
        <v>20</v>
      </c>
      <c r="C133" t="s">
        <v>291</v>
      </c>
      <c r="D133" t="s">
        <v>20</v>
      </c>
      <c r="E133" t="s">
        <v>475</v>
      </c>
      <c r="F133" t="s">
        <v>20</v>
      </c>
      <c r="G133" t="s">
        <v>292</v>
      </c>
      <c r="H133" t="s">
        <v>20</v>
      </c>
      <c r="I133" t="s">
        <v>292</v>
      </c>
      <c r="J133" t="s">
        <v>20</v>
      </c>
      <c r="K133" t="s">
        <v>292</v>
      </c>
      <c r="L133" t="s">
        <v>20</v>
      </c>
      <c r="M133" t="s">
        <v>293</v>
      </c>
      <c r="N133" t="s">
        <v>20</v>
      </c>
      <c r="O133" t="s">
        <v>17</v>
      </c>
      <c r="P133" t="s">
        <v>20</v>
      </c>
      <c r="Q133" t="s">
        <v>17</v>
      </c>
      <c r="R133" t="s">
        <v>20</v>
      </c>
      <c r="S133" t="s">
        <v>69</v>
      </c>
      <c r="T133" t="s">
        <v>20</v>
      </c>
      <c r="U133" t="s">
        <v>1053</v>
      </c>
      <c r="V133" t="s">
        <v>20</v>
      </c>
      <c r="W133" t="s">
        <v>183</v>
      </c>
      <c r="X133" t="s">
        <v>20</v>
      </c>
      <c r="Y133" t="s">
        <v>19</v>
      </c>
      <c r="Z133" t="s">
        <v>20</v>
      </c>
      <c r="AA133" s="21">
        <v>0.93900479999999997</v>
      </c>
      <c r="AB133" t="s">
        <v>20</v>
      </c>
      <c r="AC133" s="21">
        <v>3.125E-2</v>
      </c>
      <c r="AD133" t="s">
        <v>20</v>
      </c>
      <c r="AE133" s="21">
        <v>5.1364369999999999E-2</v>
      </c>
      <c r="AF133" t="s">
        <v>20</v>
      </c>
      <c r="AG133" s="21">
        <v>0.94010419999999995</v>
      </c>
      <c r="AJ133" t="str">
        <f>VLOOKUP(Sheet1!W133,'알람 범위'!$D$2:$F$45,3,FALSE)</f>
        <v>14000</v>
      </c>
      <c r="AK133">
        <v>1</v>
      </c>
      <c r="AL133">
        <f t="shared" si="38"/>
        <v>14001</v>
      </c>
      <c r="AM133" t="str">
        <f t="shared" si="36"/>
        <v>EM_LOWER_EQUIPMENT_DOOR_OPEN</v>
      </c>
    </row>
    <row r="134" spans="1:39" x14ac:dyDescent="0.3">
      <c r="A134">
        <f t="shared" si="37"/>
        <v>20000</v>
      </c>
      <c r="B134" t="s">
        <v>20</v>
      </c>
      <c r="C134" t="s">
        <v>260</v>
      </c>
      <c r="D134" t="s">
        <v>20</v>
      </c>
      <c r="E134" t="s">
        <v>263</v>
      </c>
      <c r="F134" t="s">
        <v>20</v>
      </c>
      <c r="G134" t="s">
        <v>266</v>
      </c>
      <c r="H134" t="s">
        <v>20</v>
      </c>
      <c r="I134" t="s">
        <v>266</v>
      </c>
      <c r="J134" t="s">
        <v>20</v>
      </c>
      <c r="K134" s="19" t="s">
        <v>269</v>
      </c>
      <c r="L134" t="s">
        <v>20</v>
      </c>
      <c r="M134" t="s">
        <v>271</v>
      </c>
      <c r="N134" t="s">
        <v>20</v>
      </c>
      <c r="O134" t="s">
        <v>272</v>
      </c>
      <c r="P134" t="s">
        <v>20</v>
      </c>
      <c r="Q134" t="s">
        <v>272</v>
      </c>
      <c r="R134" t="s">
        <v>20</v>
      </c>
      <c r="S134" t="s">
        <v>273</v>
      </c>
      <c r="T134" t="s">
        <v>20</v>
      </c>
      <c r="U134" t="s">
        <v>145</v>
      </c>
      <c r="V134" t="s">
        <v>20</v>
      </c>
      <c r="W134" t="s">
        <v>207</v>
      </c>
      <c r="X134" t="s">
        <v>20</v>
      </c>
      <c r="Y134" t="s">
        <v>19</v>
      </c>
      <c r="Z134" t="s">
        <v>20</v>
      </c>
      <c r="AA134">
        <v>0.44301770000000001</v>
      </c>
      <c r="AB134" t="s">
        <v>20</v>
      </c>
      <c r="AC134">
        <v>0.57421880000000003</v>
      </c>
      <c r="AD134" t="s">
        <v>20</v>
      </c>
      <c r="AE134">
        <v>8.0256820000000006E-2</v>
      </c>
      <c r="AF134" t="s">
        <v>20</v>
      </c>
      <c r="AG134">
        <v>8.4635409999999994E-2</v>
      </c>
      <c r="AJ134" t="str">
        <f>VLOOKUP(Sheet1!W134,'알람 범위'!$D$2:$F$45,3,FALSE)</f>
        <v>20000</v>
      </c>
      <c r="AK134">
        <v>0</v>
      </c>
      <c r="AL134">
        <f t="shared" si="38"/>
        <v>20000</v>
      </c>
      <c r="AM134" t="str">
        <f t="shared" si="36"/>
        <v>VI_LOADER_MCR_P1_GRAB_TIMEOUT</v>
      </c>
    </row>
    <row r="135" spans="1:39" x14ac:dyDescent="0.3">
      <c r="A135">
        <f t="shared" si="37"/>
        <v>20001</v>
      </c>
      <c r="B135" t="s">
        <v>20</v>
      </c>
      <c r="C135" t="s">
        <v>261</v>
      </c>
      <c r="D135" t="s">
        <v>20</v>
      </c>
      <c r="E135" t="s">
        <v>264</v>
      </c>
      <c r="F135" t="s">
        <v>20</v>
      </c>
      <c r="G135" t="s">
        <v>267</v>
      </c>
      <c r="H135" t="s">
        <v>20</v>
      </c>
      <c r="I135" t="s">
        <v>267</v>
      </c>
      <c r="J135" t="s">
        <v>20</v>
      </c>
      <c r="K135" s="19" t="s">
        <v>270</v>
      </c>
      <c r="L135" t="s">
        <v>20</v>
      </c>
      <c r="M135" t="s">
        <v>271</v>
      </c>
      <c r="N135" t="s">
        <v>20</v>
      </c>
      <c r="O135" t="s">
        <v>272</v>
      </c>
      <c r="P135" t="s">
        <v>20</v>
      </c>
      <c r="Q135" t="s">
        <v>272</v>
      </c>
      <c r="R135" t="s">
        <v>20</v>
      </c>
      <c r="S135" t="s">
        <v>273</v>
      </c>
      <c r="T135" t="s">
        <v>20</v>
      </c>
      <c r="U135" t="s">
        <v>208</v>
      </c>
      <c r="V135" t="s">
        <v>20</v>
      </c>
      <c r="W135" t="s">
        <v>207</v>
      </c>
      <c r="X135" t="s">
        <v>20</v>
      </c>
      <c r="Y135" t="s">
        <v>19</v>
      </c>
      <c r="Z135" t="s">
        <v>20</v>
      </c>
      <c r="AA135">
        <v>0.44301770000000001</v>
      </c>
      <c r="AB135" t="s">
        <v>20</v>
      </c>
      <c r="AC135">
        <v>0.57421880000000003</v>
      </c>
      <c r="AD135" t="s">
        <v>20</v>
      </c>
      <c r="AE135">
        <v>8.0256820000000006E-2</v>
      </c>
      <c r="AF135" t="s">
        <v>20</v>
      </c>
      <c r="AG135">
        <v>8.4635409999999994E-2</v>
      </c>
      <c r="AJ135" t="str">
        <f>VLOOKUP(Sheet1!W135,'알람 범위'!$D$2:$F$45,3,FALSE)</f>
        <v>20000</v>
      </c>
      <c r="AK135">
        <v>1</v>
      </c>
      <c r="AL135">
        <f t="shared" si="38"/>
        <v>20001</v>
      </c>
      <c r="AM135" t="str">
        <f t="shared" si="36"/>
        <v>VI_LOADER_MCR_P1_RESULT_TIMEOUT</v>
      </c>
    </row>
    <row r="136" spans="1:39" x14ac:dyDescent="0.3">
      <c r="A136">
        <f t="shared" si="37"/>
        <v>20002</v>
      </c>
      <c r="B136" t="s">
        <v>20</v>
      </c>
      <c r="C136" t="s">
        <v>262</v>
      </c>
      <c r="D136" t="s">
        <v>20</v>
      </c>
      <c r="E136" t="s">
        <v>265</v>
      </c>
      <c r="F136" t="s">
        <v>20</v>
      </c>
      <c r="G136" t="s">
        <v>268</v>
      </c>
      <c r="H136" t="s">
        <v>20</v>
      </c>
      <c r="I136" t="s">
        <v>268</v>
      </c>
      <c r="J136" t="s">
        <v>20</v>
      </c>
      <c r="K136" s="19" t="s">
        <v>269</v>
      </c>
      <c r="L136" t="s">
        <v>20</v>
      </c>
      <c r="M136" t="s">
        <v>271</v>
      </c>
      <c r="N136" t="s">
        <v>20</v>
      </c>
      <c r="O136" t="s">
        <v>272</v>
      </c>
      <c r="P136" t="s">
        <v>20</v>
      </c>
      <c r="Q136" t="s">
        <v>272</v>
      </c>
      <c r="R136" t="s">
        <v>20</v>
      </c>
      <c r="S136" t="s">
        <v>273</v>
      </c>
      <c r="T136" t="s">
        <v>20</v>
      </c>
      <c r="U136" t="s">
        <v>209</v>
      </c>
      <c r="V136" t="s">
        <v>20</v>
      </c>
      <c r="W136" t="s">
        <v>207</v>
      </c>
      <c r="X136" t="s">
        <v>20</v>
      </c>
      <c r="Y136" t="s">
        <v>19</v>
      </c>
      <c r="Z136" t="s">
        <v>20</v>
      </c>
      <c r="AA136">
        <v>0.44301770000000001</v>
      </c>
      <c r="AB136" t="s">
        <v>20</v>
      </c>
      <c r="AC136">
        <v>0.57421880000000003</v>
      </c>
      <c r="AD136" t="s">
        <v>20</v>
      </c>
      <c r="AE136">
        <v>8.0256820000000006E-2</v>
      </c>
      <c r="AF136" t="s">
        <v>20</v>
      </c>
      <c r="AG136">
        <v>8.4635409999999994E-2</v>
      </c>
      <c r="AJ136" t="str">
        <f>VLOOKUP(Sheet1!W136,'알람 범위'!$D$2:$F$45,3,FALSE)</f>
        <v>20000</v>
      </c>
      <c r="AK136">
        <v>2</v>
      </c>
      <c r="AL136">
        <f t="shared" si="38"/>
        <v>20002</v>
      </c>
      <c r="AM136" t="str">
        <f t="shared" si="36"/>
        <v>VI_LOADER_MCR_P1_CONTINUOUS_FAILURE</v>
      </c>
    </row>
    <row r="137" spans="1:39" x14ac:dyDescent="0.3">
      <c r="A137">
        <f t="shared" ref="A137:A139" si="39">AL137</f>
        <v>20010</v>
      </c>
      <c r="B137" t="s">
        <v>20</v>
      </c>
      <c r="C137" t="s">
        <v>570</v>
      </c>
      <c r="D137" t="s">
        <v>20</v>
      </c>
      <c r="E137" t="s">
        <v>571</v>
      </c>
      <c r="F137" t="s">
        <v>20</v>
      </c>
      <c r="G137" t="s">
        <v>572</v>
      </c>
      <c r="H137" t="s">
        <v>20</v>
      </c>
      <c r="I137" t="s">
        <v>572</v>
      </c>
      <c r="J137" t="s">
        <v>20</v>
      </c>
      <c r="K137" s="19" t="s">
        <v>573</v>
      </c>
      <c r="L137" t="s">
        <v>20</v>
      </c>
      <c r="M137" t="s">
        <v>271</v>
      </c>
      <c r="N137" t="s">
        <v>20</v>
      </c>
      <c r="O137" t="s">
        <v>272</v>
      </c>
      <c r="P137" t="s">
        <v>20</v>
      </c>
      <c r="Q137" t="s">
        <v>272</v>
      </c>
      <c r="R137" t="s">
        <v>20</v>
      </c>
      <c r="S137" t="s">
        <v>273</v>
      </c>
      <c r="T137" t="s">
        <v>20</v>
      </c>
      <c r="U137" t="s">
        <v>145</v>
      </c>
      <c r="V137" t="s">
        <v>20</v>
      </c>
      <c r="W137" t="s">
        <v>207</v>
      </c>
      <c r="X137" t="s">
        <v>20</v>
      </c>
      <c r="Y137" t="s">
        <v>19</v>
      </c>
      <c r="Z137" t="s">
        <v>20</v>
      </c>
      <c r="AA137">
        <v>0.33386840000000001</v>
      </c>
      <c r="AB137" t="s">
        <v>20</v>
      </c>
      <c r="AC137">
        <v>0.57552080000000005</v>
      </c>
      <c r="AD137" t="s">
        <v>20</v>
      </c>
      <c r="AE137">
        <v>8.82825E-2</v>
      </c>
      <c r="AF137" t="s">
        <v>20</v>
      </c>
      <c r="AG137">
        <v>8.59375E-2</v>
      </c>
      <c r="AJ137" t="str">
        <f>VLOOKUP(Sheet1!W137,'알람 범위'!$D$2:$F$45,3,FALSE)</f>
        <v>20000</v>
      </c>
      <c r="AK137">
        <v>10</v>
      </c>
      <c r="AL137">
        <f t="shared" ref="AL137:AL139" si="40">AJ137+AK137</f>
        <v>20010</v>
      </c>
      <c r="AM137" t="str">
        <f t="shared" si="36"/>
        <v>VI_LOADER_MCR_P2_GRAB_TIMEOUT</v>
      </c>
    </row>
    <row r="138" spans="1:39" x14ac:dyDescent="0.3">
      <c r="A138">
        <f t="shared" si="39"/>
        <v>20011</v>
      </c>
      <c r="B138" t="s">
        <v>20</v>
      </c>
      <c r="C138" t="s">
        <v>574</v>
      </c>
      <c r="D138" t="s">
        <v>20</v>
      </c>
      <c r="E138" t="s">
        <v>575</v>
      </c>
      <c r="F138" t="s">
        <v>20</v>
      </c>
      <c r="G138" t="s">
        <v>576</v>
      </c>
      <c r="H138" t="s">
        <v>20</v>
      </c>
      <c r="I138" t="s">
        <v>576</v>
      </c>
      <c r="J138" t="s">
        <v>20</v>
      </c>
      <c r="K138" s="19" t="s">
        <v>577</v>
      </c>
      <c r="L138" t="s">
        <v>20</v>
      </c>
      <c r="M138" t="s">
        <v>271</v>
      </c>
      <c r="N138" t="s">
        <v>20</v>
      </c>
      <c r="O138" t="s">
        <v>272</v>
      </c>
      <c r="P138" t="s">
        <v>20</v>
      </c>
      <c r="Q138" t="s">
        <v>272</v>
      </c>
      <c r="R138" t="s">
        <v>20</v>
      </c>
      <c r="S138" t="s">
        <v>273</v>
      </c>
      <c r="T138" t="s">
        <v>20</v>
      </c>
      <c r="U138" t="s">
        <v>145</v>
      </c>
      <c r="V138" t="s">
        <v>20</v>
      </c>
      <c r="W138" t="s">
        <v>207</v>
      </c>
      <c r="X138" t="s">
        <v>20</v>
      </c>
      <c r="Y138" t="s">
        <v>19</v>
      </c>
      <c r="Z138" t="s">
        <v>20</v>
      </c>
      <c r="AA138">
        <v>0.33386840000000001</v>
      </c>
      <c r="AB138" t="s">
        <v>20</v>
      </c>
      <c r="AC138">
        <v>0.57552080000000005</v>
      </c>
      <c r="AD138" t="s">
        <v>20</v>
      </c>
      <c r="AE138">
        <v>8.82825E-2</v>
      </c>
      <c r="AF138" t="s">
        <v>20</v>
      </c>
      <c r="AG138">
        <v>8.59375E-2</v>
      </c>
      <c r="AJ138" t="str">
        <f>VLOOKUP(Sheet1!W138,'알람 범위'!$D$2:$F$45,3,FALSE)</f>
        <v>20000</v>
      </c>
      <c r="AK138">
        <v>11</v>
      </c>
      <c r="AL138">
        <f t="shared" si="40"/>
        <v>20011</v>
      </c>
      <c r="AM138" t="str">
        <f t="shared" si="36"/>
        <v>VI_LOADER_MCR_P2_RESULT_TIMEOUT</v>
      </c>
    </row>
    <row r="139" spans="1:39" x14ac:dyDescent="0.3">
      <c r="A139">
        <f t="shared" si="39"/>
        <v>20012</v>
      </c>
      <c r="B139" t="s">
        <v>20</v>
      </c>
      <c r="C139" t="s">
        <v>578</v>
      </c>
      <c r="D139" t="s">
        <v>20</v>
      </c>
      <c r="E139" t="s">
        <v>579</v>
      </c>
      <c r="F139" t="s">
        <v>20</v>
      </c>
      <c r="G139" t="s">
        <v>580</v>
      </c>
      <c r="H139" t="s">
        <v>20</v>
      </c>
      <c r="I139" t="s">
        <v>580</v>
      </c>
      <c r="J139" t="s">
        <v>20</v>
      </c>
      <c r="K139" s="19" t="s">
        <v>573</v>
      </c>
      <c r="L139" t="s">
        <v>20</v>
      </c>
      <c r="M139" t="s">
        <v>271</v>
      </c>
      <c r="N139" t="s">
        <v>20</v>
      </c>
      <c r="O139" t="s">
        <v>272</v>
      </c>
      <c r="P139" t="s">
        <v>20</v>
      </c>
      <c r="Q139" t="s">
        <v>272</v>
      </c>
      <c r="R139" t="s">
        <v>20</v>
      </c>
      <c r="S139" t="s">
        <v>273</v>
      </c>
      <c r="T139" t="s">
        <v>20</v>
      </c>
      <c r="U139" t="s">
        <v>95</v>
      </c>
      <c r="V139" t="s">
        <v>20</v>
      </c>
      <c r="W139" t="s">
        <v>207</v>
      </c>
      <c r="X139" t="s">
        <v>20</v>
      </c>
      <c r="Y139" t="s">
        <v>19</v>
      </c>
      <c r="Z139" t="s">
        <v>20</v>
      </c>
      <c r="AA139">
        <v>0.33386840000000001</v>
      </c>
      <c r="AB139" t="s">
        <v>20</v>
      </c>
      <c r="AC139">
        <v>0.57552080000000005</v>
      </c>
      <c r="AD139" t="s">
        <v>20</v>
      </c>
      <c r="AE139">
        <v>8.82825E-2</v>
      </c>
      <c r="AF139" t="s">
        <v>20</v>
      </c>
      <c r="AG139">
        <v>8.59375E-2</v>
      </c>
      <c r="AJ139" t="str">
        <f>VLOOKUP(Sheet1!W139,'알람 범위'!$D$2:$F$45,3,FALSE)</f>
        <v>20000</v>
      </c>
      <c r="AK139">
        <v>12</v>
      </c>
      <c r="AL139">
        <f t="shared" si="40"/>
        <v>20012</v>
      </c>
      <c r="AM139" t="str">
        <f t="shared" si="36"/>
        <v>VI_LOADER_MCR_P2_CONTINUOUS_FAILURE</v>
      </c>
    </row>
    <row r="140" spans="1:39" x14ac:dyDescent="0.3">
      <c r="A140">
        <f t="shared" ref="A140:A149" si="41">AL140</f>
        <v>20500</v>
      </c>
      <c r="B140" t="s">
        <v>20</v>
      </c>
      <c r="C140" t="s">
        <v>638</v>
      </c>
      <c r="D140" t="s">
        <v>20</v>
      </c>
      <c r="E140" t="s">
        <v>658</v>
      </c>
      <c r="F140" t="s">
        <v>20</v>
      </c>
      <c r="G140" t="s">
        <v>678</v>
      </c>
      <c r="H140" t="s">
        <v>20</v>
      </c>
      <c r="I140" t="s">
        <v>678</v>
      </c>
      <c r="J140" t="s">
        <v>20</v>
      </c>
      <c r="K140" t="s">
        <v>678</v>
      </c>
      <c r="L140" t="s">
        <v>20</v>
      </c>
      <c r="M140" t="s">
        <v>698</v>
      </c>
      <c r="N140" t="s">
        <v>20</v>
      </c>
      <c r="O140" t="s">
        <v>615</v>
      </c>
      <c r="P140" t="s">
        <v>20</v>
      </c>
      <c r="Q140" t="s">
        <v>615</v>
      </c>
      <c r="R140" t="s">
        <v>20</v>
      </c>
      <c r="S140" t="s">
        <v>615</v>
      </c>
      <c r="T140" t="s">
        <v>20</v>
      </c>
      <c r="U140" t="s">
        <v>21</v>
      </c>
      <c r="V140" t="s">
        <v>20</v>
      </c>
      <c r="W140" t="s">
        <v>279</v>
      </c>
      <c r="X140" t="s">
        <v>20</v>
      </c>
      <c r="Y140" t="s">
        <v>19</v>
      </c>
      <c r="Z140" t="s">
        <v>20</v>
      </c>
      <c r="AA140">
        <v>0.2391653</v>
      </c>
      <c r="AB140" t="s">
        <v>20</v>
      </c>
      <c r="AC140">
        <v>0.3984375</v>
      </c>
      <c r="AD140" t="s">
        <v>20</v>
      </c>
      <c r="AE140">
        <v>0.117175</v>
      </c>
      <c r="AF140" t="s">
        <v>20</v>
      </c>
      <c r="AG140">
        <v>0.2421875</v>
      </c>
      <c r="AJ140" t="str">
        <f>VLOOKUP(Sheet1!W140,'알람 범위'!$D$2:$F$45,3,FALSE)</f>
        <v>20500</v>
      </c>
      <c r="AK140">
        <v>0</v>
      </c>
      <c r="AL140">
        <f t="shared" ref="AL140:AL155" si="42">AJ140+AK140</f>
        <v>20500</v>
      </c>
      <c r="AM140" t="str">
        <f t="shared" si="36"/>
        <v>CO_PRE_ALIGN_N_DISCONNECTED</v>
      </c>
    </row>
    <row r="141" spans="1:39" x14ac:dyDescent="0.3">
      <c r="A141">
        <f t="shared" si="41"/>
        <v>20501</v>
      </c>
      <c r="B141" t="s">
        <v>20</v>
      </c>
      <c r="C141" t="s">
        <v>639</v>
      </c>
      <c r="D141" t="s">
        <v>20</v>
      </c>
      <c r="E141" t="s">
        <v>659</v>
      </c>
      <c r="F141" t="s">
        <v>20</v>
      </c>
      <c r="G141" t="s">
        <v>679</v>
      </c>
      <c r="H141" t="s">
        <v>20</v>
      </c>
      <c r="I141" t="s">
        <v>679</v>
      </c>
      <c r="J141" t="s">
        <v>20</v>
      </c>
      <c r="K141" t="s">
        <v>679</v>
      </c>
      <c r="L141" t="s">
        <v>20</v>
      </c>
      <c r="M141" t="s">
        <v>698</v>
      </c>
      <c r="N141" t="s">
        <v>20</v>
      </c>
      <c r="O141" t="s">
        <v>615</v>
      </c>
      <c r="P141" t="s">
        <v>20</v>
      </c>
      <c r="Q141" t="s">
        <v>615</v>
      </c>
      <c r="R141" t="s">
        <v>20</v>
      </c>
      <c r="S141" t="s">
        <v>615</v>
      </c>
      <c r="T141" t="s">
        <v>20</v>
      </c>
      <c r="U141" t="s">
        <v>21</v>
      </c>
      <c r="V141" t="s">
        <v>20</v>
      </c>
      <c r="W141" t="s">
        <v>279</v>
      </c>
      <c r="X141" t="s">
        <v>20</v>
      </c>
      <c r="Y141" t="s">
        <v>19</v>
      </c>
      <c r="Z141" t="s">
        <v>20</v>
      </c>
      <c r="AA141">
        <v>0.2391653</v>
      </c>
      <c r="AB141" t="s">
        <v>20</v>
      </c>
      <c r="AC141">
        <v>0.3984375</v>
      </c>
      <c r="AD141" t="s">
        <v>20</v>
      </c>
      <c r="AE141">
        <v>0.117175</v>
      </c>
      <c r="AF141" t="s">
        <v>20</v>
      </c>
      <c r="AG141">
        <v>0.2421875</v>
      </c>
      <c r="AJ141" t="str">
        <f>VLOOKUP(Sheet1!W141,'알람 범위'!$D$2:$F$45,3,FALSE)</f>
        <v>20500</v>
      </c>
      <c r="AK141">
        <v>1</v>
      </c>
      <c r="AL141">
        <f t="shared" si="42"/>
        <v>20501</v>
      </c>
      <c r="AM141" t="str">
        <f t="shared" si="36"/>
        <v>VI_PRE_ALIGN_N_RECEIVE_ALIGN_ERROR</v>
      </c>
    </row>
    <row r="142" spans="1:39" x14ac:dyDescent="0.3">
      <c r="A142">
        <f t="shared" si="41"/>
        <v>20502</v>
      </c>
      <c r="B142" t="s">
        <v>20</v>
      </c>
      <c r="C142" t="s">
        <v>640</v>
      </c>
      <c r="D142" t="s">
        <v>20</v>
      </c>
      <c r="E142" t="s">
        <v>660</v>
      </c>
      <c r="F142" t="s">
        <v>20</v>
      </c>
      <c r="G142" t="s">
        <v>680</v>
      </c>
      <c r="H142" t="s">
        <v>20</v>
      </c>
      <c r="I142" t="s">
        <v>680</v>
      </c>
      <c r="J142" t="s">
        <v>20</v>
      </c>
      <c r="K142" t="s">
        <v>680</v>
      </c>
      <c r="L142" t="s">
        <v>20</v>
      </c>
      <c r="M142" t="s">
        <v>698</v>
      </c>
      <c r="N142" t="s">
        <v>20</v>
      </c>
      <c r="O142" t="s">
        <v>615</v>
      </c>
      <c r="P142" t="s">
        <v>20</v>
      </c>
      <c r="Q142" t="s">
        <v>615</v>
      </c>
      <c r="R142" t="s">
        <v>20</v>
      </c>
      <c r="S142" t="s">
        <v>615</v>
      </c>
      <c r="T142" t="s">
        <v>20</v>
      </c>
      <c r="U142" t="s">
        <v>21</v>
      </c>
      <c r="V142" t="s">
        <v>20</v>
      </c>
      <c r="W142" t="s">
        <v>279</v>
      </c>
      <c r="X142" t="s">
        <v>20</v>
      </c>
      <c r="Y142" t="s">
        <v>19</v>
      </c>
      <c r="Z142" t="s">
        <v>20</v>
      </c>
      <c r="AA142">
        <v>0.2391653</v>
      </c>
      <c r="AB142" t="s">
        <v>20</v>
      </c>
      <c r="AC142">
        <v>0.3984375</v>
      </c>
      <c r="AD142" t="s">
        <v>20</v>
      </c>
      <c r="AE142">
        <v>0.117175</v>
      </c>
      <c r="AF142" t="s">
        <v>20</v>
      </c>
      <c r="AG142">
        <v>0.2421875</v>
      </c>
      <c r="AJ142" t="str">
        <f>VLOOKUP(Sheet1!W142,'알람 범위'!$D$2:$F$45,3,FALSE)</f>
        <v>20500</v>
      </c>
      <c r="AK142">
        <v>2</v>
      </c>
      <c r="AL142">
        <f t="shared" si="42"/>
        <v>20502</v>
      </c>
      <c r="AM142" t="str">
        <f t="shared" si="36"/>
        <v>VI_PRE_ALIGN_N_MODEL_LIST_TIMEOUT</v>
      </c>
    </row>
    <row r="143" spans="1:39" x14ac:dyDescent="0.3">
      <c r="A143">
        <f t="shared" si="41"/>
        <v>20503</v>
      </c>
      <c r="B143" t="s">
        <v>20</v>
      </c>
      <c r="C143" t="s">
        <v>641</v>
      </c>
      <c r="D143" t="s">
        <v>20</v>
      </c>
      <c r="E143" t="s">
        <v>661</v>
      </c>
      <c r="F143" t="s">
        <v>20</v>
      </c>
      <c r="G143" t="s">
        <v>681</v>
      </c>
      <c r="H143" t="s">
        <v>20</v>
      </c>
      <c r="I143" t="s">
        <v>681</v>
      </c>
      <c r="J143" t="s">
        <v>20</v>
      </c>
      <c r="K143" t="s">
        <v>681</v>
      </c>
      <c r="L143" t="s">
        <v>20</v>
      </c>
      <c r="M143" t="s">
        <v>699</v>
      </c>
      <c r="N143" t="s">
        <v>20</v>
      </c>
      <c r="O143" t="s">
        <v>616</v>
      </c>
      <c r="P143" t="s">
        <v>20</v>
      </c>
      <c r="Q143" t="s">
        <v>616</v>
      </c>
      <c r="R143" t="s">
        <v>20</v>
      </c>
      <c r="S143" t="s">
        <v>616</v>
      </c>
      <c r="T143" t="s">
        <v>20</v>
      </c>
      <c r="U143" t="s">
        <v>21</v>
      </c>
      <c r="V143" t="s">
        <v>20</v>
      </c>
      <c r="W143" t="s">
        <v>279</v>
      </c>
      <c r="X143" t="s">
        <v>20</v>
      </c>
      <c r="Y143" t="s">
        <v>19</v>
      </c>
      <c r="Z143" t="s">
        <v>20</v>
      </c>
      <c r="AA143">
        <v>0.2391653</v>
      </c>
      <c r="AB143" t="s">
        <v>20</v>
      </c>
      <c r="AC143">
        <v>0.3984375</v>
      </c>
      <c r="AD143" t="s">
        <v>20</v>
      </c>
      <c r="AE143">
        <v>0.117175</v>
      </c>
      <c r="AF143" t="s">
        <v>20</v>
      </c>
      <c r="AG143">
        <v>0.2421875</v>
      </c>
      <c r="AJ143" t="str">
        <f>VLOOKUP(Sheet1!W143,'알람 범위'!$D$2:$F$45,3,FALSE)</f>
        <v>20500</v>
      </c>
      <c r="AK143">
        <v>3</v>
      </c>
      <c r="AL143">
        <f t="shared" si="42"/>
        <v>20503</v>
      </c>
      <c r="AM143" t="str">
        <f t="shared" si="36"/>
        <v>VI_PRE_ALIGN_N_MODEL_NOT_FOUND</v>
      </c>
    </row>
    <row r="144" spans="1:39" x14ac:dyDescent="0.3">
      <c r="A144">
        <f t="shared" si="41"/>
        <v>20504</v>
      </c>
      <c r="B144" t="s">
        <v>20</v>
      </c>
      <c r="C144" t="s">
        <v>642</v>
      </c>
      <c r="D144" t="s">
        <v>20</v>
      </c>
      <c r="E144" t="s">
        <v>662</v>
      </c>
      <c r="F144" t="s">
        <v>20</v>
      </c>
      <c r="G144" t="s">
        <v>682</v>
      </c>
      <c r="H144" t="s">
        <v>20</v>
      </c>
      <c r="I144" t="s">
        <v>682</v>
      </c>
      <c r="J144" t="s">
        <v>20</v>
      </c>
      <c r="K144" t="s">
        <v>682</v>
      </c>
      <c r="L144" t="s">
        <v>20</v>
      </c>
      <c r="M144" t="s">
        <v>698</v>
      </c>
      <c r="N144" t="s">
        <v>20</v>
      </c>
      <c r="O144" t="s">
        <v>615</v>
      </c>
      <c r="P144" t="s">
        <v>20</v>
      </c>
      <c r="Q144" t="s">
        <v>615</v>
      </c>
      <c r="R144" t="s">
        <v>20</v>
      </c>
      <c r="S144" t="s">
        <v>615</v>
      </c>
      <c r="T144" t="s">
        <v>20</v>
      </c>
      <c r="U144" t="s">
        <v>21</v>
      </c>
      <c r="V144" t="s">
        <v>20</v>
      </c>
      <c r="W144" t="s">
        <v>279</v>
      </c>
      <c r="X144" t="s">
        <v>20</v>
      </c>
      <c r="Y144" t="s">
        <v>19</v>
      </c>
      <c r="Z144" t="s">
        <v>20</v>
      </c>
      <c r="AA144">
        <v>0.2391653</v>
      </c>
      <c r="AB144" t="s">
        <v>20</v>
      </c>
      <c r="AC144">
        <v>0.3984375</v>
      </c>
      <c r="AD144" t="s">
        <v>20</v>
      </c>
      <c r="AE144">
        <v>0.117175</v>
      </c>
      <c r="AF144" t="s">
        <v>20</v>
      </c>
      <c r="AG144">
        <v>0.2421875</v>
      </c>
      <c r="AJ144" t="str">
        <f>VLOOKUP(Sheet1!W144,'알람 범위'!$D$2:$F$45,3,FALSE)</f>
        <v>20500</v>
      </c>
      <c r="AK144">
        <v>4</v>
      </c>
      <c r="AL144">
        <f t="shared" si="42"/>
        <v>20504</v>
      </c>
      <c r="AM144" t="str">
        <f t="shared" si="36"/>
        <v>VI_PRE_ALIGN_START_TIMEOUT</v>
      </c>
    </row>
    <row r="145" spans="1:39" x14ac:dyDescent="0.3">
      <c r="A145">
        <f t="shared" si="41"/>
        <v>20505</v>
      </c>
      <c r="B145" t="s">
        <v>20</v>
      </c>
      <c r="C145" t="s">
        <v>643</v>
      </c>
      <c r="D145" t="s">
        <v>20</v>
      </c>
      <c r="E145" t="s">
        <v>663</v>
      </c>
      <c r="F145" t="s">
        <v>20</v>
      </c>
      <c r="G145" t="s">
        <v>683</v>
      </c>
      <c r="H145" t="s">
        <v>20</v>
      </c>
      <c r="I145" t="s">
        <v>683</v>
      </c>
      <c r="J145" t="s">
        <v>20</v>
      </c>
      <c r="K145" t="s">
        <v>683</v>
      </c>
      <c r="L145" t="s">
        <v>20</v>
      </c>
      <c r="M145" t="s">
        <v>698</v>
      </c>
      <c r="N145" t="s">
        <v>20</v>
      </c>
      <c r="O145" t="s">
        <v>615</v>
      </c>
      <c r="P145" t="s">
        <v>20</v>
      </c>
      <c r="Q145" t="s">
        <v>615</v>
      </c>
      <c r="R145" t="s">
        <v>20</v>
      </c>
      <c r="S145" t="s">
        <v>615</v>
      </c>
      <c r="T145" t="s">
        <v>20</v>
      </c>
      <c r="U145" t="s">
        <v>21</v>
      </c>
      <c r="V145" t="s">
        <v>20</v>
      </c>
      <c r="W145" t="s">
        <v>279</v>
      </c>
      <c r="X145" t="s">
        <v>20</v>
      </c>
      <c r="Y145" t="s">
        <v>19</v>
      </c>
      <c r="Z145" t="s">
        <v>20</v>
      </c>
      <c r="AA145">
        <v>0.2391653</v>
      </c>
      <c r="AB145" t="s">
        <v>20</v>
      </c>
      <c r="AC145">
        <v>0.3984375</v>
      </c>
      <c r="AD145" t="s">
        <v>20</v>
      </c>
      <c r="AE145">
        <v>0.117175</v>
      </c>
      <c r="AF145" t="s">
        <v>20</v>
      </c>
      <c r="AG145">
        <v>0.2421875</v>
      </c>
      <c r="AJ145" t="str">
        <f>VLOOKUP(Sheet1!W145,'알람 범위'!$D$2:$F$45,3,FALSE)</f>
        <v>20500</v>
      </c>
      <c r="AK145">
        <v>5</v>
      </c>
      <c r="AL145">
        <f t="shared" si="42"/>
        <v>20505</v>
      </c>
      <c r="AM145" t="str">
        <f t="shared" si="36"/>
        <v>VI_PRE_ALIGN_COMPLETE_TIMEOUT</v>
      </c>
    </row>
    <row r="146" spans="1:39" x14ac:dyDescent="0.3">
      <c r="A146">
        <f t="shared" si="41"/>
        <v>20506</v>
      </c>
      <c r="B146" t="s">
        <v>20</v>
      </c>
      <c r="C146" t="s">
        <v>644</v>
      </c>
      <c r="D146" t="s">
        <v>20</v>
      </c>
      <c r="E146" t="s">
        <v>664</v>
      </c>
      <c r="F146" t="s">
        <v>20</v>
      </c>
      <c r="G146" t="s">
        <v>684</v>
      </c>
      <c r="H146" t="s">
        <v>20</v>
      </c>
      <c r="I146" t="s">
        <v>684</v>
      </c>
      <c r="J146" t="s">
        <v>20</v>
      </c>
      <c r="K146" t="s">
        <v>684</v>
      </c>
      <c r="L146" t="s">
        <v>20</v>
      </c>
      <c r="M146" t="s">
        <v>698</v>
      </c>
      <c r="N146" t="s">
        <v>20</v>
      </c>
      <c r="O146" t="s">
        <v>615</v>
      </c>
      <c r="P146" t="s">
        <v>20</v>
      </c>
      <c r="Q146" t="s">
        <v>615</v>
      </c>
      <c r="R146" t="s">
        <v>20</v>
      </c>
      <c r="S146" t="s">
        <v>615</v>
      </c>
      <c r="T146" t="s">
        <v>20</v>
      </c>
      <c r="U146" t="s">
        <v>21</v>
      </c>
      <c r="V146" t="s">
        <v>20</v>
      </c>
      <c r="W146" t="s">
        <v>279</v>
      </c>
      <c r="X146" t="s">
        <v>20</v>
      </c>
      <c r="Y146" t="s">
        <v>19</v>
      </c>
      <c r="Z146" t="s">
        <v>20</v>
      </c>
      <c r="AA146">
        <v>0.2391653</v>
      </c>
      <c r="AB146" t="s">
        <v>20</v>
      </c>
      <c r="AC146">
        <v>0.3984375</v>
      </c>
      <c r="AD146" t="s">
        <v>20</v>
      </c>
      <c r="AE146">
        <v>0.117175</v>
      </c>
      <c r="AF146" t="s">
        <v>20</v>
      </c>
      <c r="AG146">
        <v>0.2421875</v>
      </c>
      <c r="AJ146" t="str">
        <f>VLOOKUP(Sheet1!W146,'알람 범위'!$D$2:$F$45,3,FALSE)</f>
        <v>20500</v>
      </c>
      <c r="AK146">
        <v>6</v>
      </c>
      <c r="AL146">
        <f t="shared" si="42"/>
        <v>20506</v>
      </c>
      <c r="AM146" t="str">
        <f t="shared" si="36"/>
        <v>CO_PRE_ALIGN_COMPLETE_VALIDATION_FAIL</v>
      </c>
    </row>
    <row r="147" spans="1:39" x14ac:dyDescent="0.3">
      <c r="A147">
        <f t="shared" si="41"/>
        <v>20507</v>
      </c>
      <c r="B147" t="s">
        <v>20</v>
      </c>
      <c r="C147" t="s">
        <v>645</v>
      </c>
      <c r="D147" t="s">
        <v>20</v>
      </c>
      <c r="E147" t="s">
        <v>665</v>
      </c>
      <c r="F147" t="s">
        <v>20</v>
      </c>
      <c r="G147" t="s">
        <v>685</v>
      </c>
      <c r="H147" t="s">
        <v>20</v>
      </c>
      <c r="I147" t="s">
        <v>685</v>
      </c>
      <c r="J147" t="s">
        <v>20</v>
      </c>
      <c r="K147" s="19" t="s">
        <v>685</v>
      </c>
      <c r="L147" t="s">
        <v>20</v>
      </c>
      <c r="M147" t="s">
        <v>700</v>
      </c>
      <c r="N147" t="s">
        <v>20</v>
      </c>
      <c r="O147" t="s">
        <v>617</v>
      </c>
      <c r="P147" t="s">
        <v>20</v>
      </c>
      <c r="Q147" t="s">
        <v>617</v>
      </c>
      <c r="R147" t="s">
        <v>20</v>
      </c>
      <c r="S147" t="s">
        <v>617</v>
      </c>
      <c r="T147" t="s">
        <v>20</v>
      </c>
      <c r="U147" t="s">
        <v>21</v>
      </c>
      <c r="V147" t="s">
        <v>20</v>
      </c>
      <c r="W147" t="s">
        <v>279</v>
      </c>
      <c r="X147" t="s">
        <v>20</v>
      </c>
      <c r="Y147" t="s">
        <v>19</v>
      </c>
      <c r="Z147" t="s">
        <v>20</v>
      </c>
      <c r="AA147">
        <v>0.2391653</v>
      </c>
      <c r="AB147" t="s">
        <v>20</v>
      </c>
      <c r="AC147">
        <v>0.3984375</v>
      </c>
      <c r="AD147" t="s">
        <v>20</v>
      </c>
      <c r="AE147">
        <v>0.117175</v>
      </c>
      <c r="AF147" t="s">
        <v>20</v>
      </c>
      <c r="AG147">
        <v>0.2421875</v>
      </c>
      <c r="AJ147" t="str">
        <f>VLOOKUP(Sheet1!W147,'알람 범위'!$D$2:$F$45,3,FALSE)</f>
        <v>20500</v>
      </c>
      <c r="AK147">
        <v>7</v>
      </c>
      <c r="AL147">
        <f t="shared" si="42"/>
        <v>20507</v>
      </c>
      <c r="AM147" t="str">
        <f t="shared" si="36"/>
        <v>VI_PRE_ALIGN_P1_OVERRANGE_X</v>
      </c>
    </row>
    <row r="148" spans="1:39" x14ac:dyDescent="0.3">
      <c r="A148">
        <f t="shared" si="41"/>
        <v>20508</v>
      </c>
      <c r="B148" t="s">
        <v>20</v>
      </c>
      <c r="C148" t="s">
        <v>646</v>
      </c>
      <c r="D148" t="s">
        <v>20</v>
      </c>
      <c r="E148" t="s">
        <v>666</v>
      </c>
      <c r="F148" t="s">
        <v>20</v>
      </c>
      <c r="G148" t="s">
        <v>686</v>
      </c>
      <c r="H148" t="s">
        <v>20</v>
      </c>
      <c r="I148" t="s">
        <v>686</v>
      </c>
      <c r="J148" t="s">
        <v>20</v>
      </c>
      <c r="K148" s="19" t="s">
        <v>686</v>
      </c>
      <c r="L148" t="s">
        <v>20</v>
      </c>
      <c r="M148" t="s">
        <v>700</v>
      </c>
      <c r="N148" t="s">
        <v>20</v>
      </c>
      <c r="O148" t="s">
        <v>617</v>
      </c>
      <c r="P148" t="s">
        <v>20</v>
      </c>
      <c r="Q148" t="s">
        <v>617</v>
      </c>
      <c r="R148" t="s">
        <v>20</v>
      </c>
      <c r="S148" t="s">
        <v>617</v>
      </c>
      <c r="T148" t="s">
        <v>20</v>
      </c>
      <c r="U148" t="s">
        <v>21</v>
      </c>
      <c r="V148" t="s">
        <v>20</v>
      </c>
      <c r="W148" t="s">
        <v>279</v>
      </c>
      <c r="X148" t="s">
        <v>20</v>
      </c>
      <c r="Y148" t="s">
        <v>19</v>
      </c>
      <c r="Z148" t="s">
        <v>20</v>
      </c>
      <c r="AA148">
        <v>0.2391653</v>
      </c>
      <c r="AB148" t="s">
        <v>20</v>
      </c>
      <c r="AC148">
        <v>0.3984375</v>
      </c>
      <c r="AD148" t="s">
        <v>20</v>
      </c>
      <c r="AE148">
        <v>0.117175</v>
      </c>
      <c r="AF148" t="s">
        <v>20</v>
      </c>
      <c r="AG148">
        <v>0.2421875</v>
      </c>
      <c r="AJ148" t="str">
        <f>VLOOKUP(Sheet1!W148,'알람 범위'!$D$2:$F$45,3,FALSE)</f>
        <v>20500</v>
      </c>
      <c r="AK148">
        <v>8</v>
      </c>
      <c r="AL148">
        <f t="shared" si="42"/>
        <v>20508</v>
      </c>
      <c r="AM148" t="str">
        <f t="shared" si="36"/>
        <v>VI_PRE_ALIGN_P1_OVERRANGE_Y</v>
      </c>
    </row>
    <row r="149" spans="1:39" x14ac:dyDescent="0.3">
      <c r="A149">
        <f t="shared" si="41"/>
        <v>20509</v>
      </c>
      <c r="B149" t="s">
        <v>20</v>
      </c>
      <c r="C149" t="s">
        <v>647</v>
      </c>
      <c r="D149" t="s">
        <v>20</v>
      </c>
      <c r="E149" t="s">
        <v>667</v>
      </c>
      <c r="F149" t="s">
        <v>20</v>
      </c>
      <c r="G149" t="s">
        <v>687</v>
      </c>
      <c r="H149" t="s">
        <v>20</v>
      </c>
      <c r="I149" t="s">
        <v>687</v>
      </c>
      <c r="J149" t="s">
        <v>20</v>
      </c>
      <c r="K149" s="19" t="s">
        <v>687</v>
      </c>
      <c r="L149" t="s">
        <v>20</v>
      </c>
      <c r="M149" t="s">
        <v>700</v>
      </c>
      <c r="N149" t="s">
        <v>20</v>
      </c>
      <c r="O149" t="s">
        <v>617</v>
      </c>
      <c r="P149" t="s">
        <v>20</v>
      </c>
      <c r="Q149" t="s">
        <v>617</v>
      </c>
      <c r="R149" t="s">
        <v>20</v>
      </c>
      <c r="S149" t="s">
        <v>617</v>
      </c>
      <c r="T149" t="s">
        <v>20</v>
      </c>
      <c r="U149" t="s">
        <v>21</v>
      </c>
      <c r="V149" t="s">
        <v>20</v>
      </c>
      <c r="W149" t="s">
        <v>279</v>
      </c>
      <c r="X149" t="s">
        <v>20</v>
      </c>
      <c r="Y149" t="s">
        <v>19</v>
      </c>
      <c r="Z149" t="s">
        <v>20</v>
      </c>
      <c r="AA149">
        <v>0.2391653</v>
      </c>
      <c r="AB149" t="s">
        <v>20</v>
      </c>
      <c r="AC149">
        <v>0.3984375</v>
      </c>
      <c r="AD149" t="s">
        <v>20</v>
      </c>
      <c r="AE149">
        <v>0.117175</v>
      </c>
      <c r="AF149" t="s">
        <v>20</v>
      </c>
      <c r="AG149">
        <v>0.2421875</v>
      </c>
      <c r="AJ149" t="str">
        <f>VLOOKUP(Sheet1!W149,'알람 범위'!$D$2:$F$45,3,FALSE)</f>
        <v>20500</v>
      </c>
      <c r="AK149">
        <v>9</v>
      </c>
      <c r="AL149">
        <f t="shared" si="42"/>
        <v>20509</v>
      </c>
      <c r="AM149" t="str">
        <f t="shared" si="36"/>
        <v>VI_PRE_ALIGN_P1_OVERRANGE_T</v>
      </c>
    </row>
    <row r="150" spans="1:39" x14ac:dyDescent="0.3">
      <c r="A150">
        <f t="shared" ref="A150:A159" si="43">AL150</f>
        <v>20510</v>
      </c>
      <c r="B150" t="s">
        <v>20</v>
      </c>
      <c r="C150" t="s">
        <v>648</v>
      </c>
      <c r="D150" t="s">
        <v>20</v>
      </c>
      <c r="E150" t="s">
        <v>668</v>
      </c>
      <c r="F150" t="s">
        <v>20</v>
      </c>
      <c r="G150" t="s">
        <v>688</v>
      </c>
      <c r="H150" t="s">
        <v>20</v>
      </c>
      <c r="I150" t="s">
        <v>688</v>
      </c>
      <c r="J150" t="s">
        <v>20</v>
      </c>
      <c r="K150" s="19" t="s">
        <v>688</v>
      </c>
      <c r="L150" t="s">
        <v>20</v>
      </c>
      <c r="M150" t="s">
        <v>700</v>
      </c>
      <c r="N150" t="s">
        <v>20</v>
      </c>
      <c r="O150" t="s">
        <v>617</v>
      </c>
      <c r="P150" t="s">
        <v>20</v>
      </c>
      <c r="Q150" t="s">
        <v>617</v>
      </c>
      <c r="R150" t="s">
        <v>20</v>
      </c>
      <c r="S150" t="s">
        <v>617</v>
      </c>
      <c r="T150" t="s">
        <v>20</v>
      </c>
      <c r="U150" t="s">
        <v>21</v>
      </c>
      <c r="V150" t="s">
        <v>20</v>
      </c>
      <c r="W150" t="s">
        <v>279</v>
      </c>
      <c r="X150" t="s">
        <v>20</v>
      </c>
      <c r="Y150" t="s">
        <v>19</v>
      </c>
      <c r="Z150" t="s">
        <v>20</v>
      </c>
      <c r="AA150">
        <v>0.2391653</v>
      </c>
      <c r="AB150" t="s">
        <v>20</v>
      </c>
      <c r="AC150">
        <v>0.3984375</v>
      </c>
      <c r="AD150" t="s">
        <v>20</v>
      </c>
      <c r="AE150">
        <v>0.117175</v>
      </c>
      <c r="AF150" t="s">
        <v>20</v>
      </c>
      <c r="AG150">
        <v>0.2421875</v>
      </c>
      <c r="AJ150" t="str">
        <f>VLOOKUP(Sheet1!W150,'알람 범위'!$D$2:$F$45,3,FALSE)</f>
        <v>20500</v>
      </c>
      <c r="AK150">
        <v>10</v>
      </c>
      <c r="AL150">
        <f t="shared" si="42"/>
        <v>20510</v>
      </c>
      <c r="AM150" t="str">
        <f t="shared" si="36"/>
        <v>VI_PRE_ALIGN_P1_OVERRANGE_SCORE</v>
      </c>
    </row>
    <row r="151" spans="1:39" x14ac:dyDescent="0.3">
      <c r="A151">
        <f t="shared" si="43"/>
        <v>20511</v>
      </c>
      <c r="B151" t="s">
        <v>20</v>
      </c>
      <c r="C151" t="s">
        <v>649</v>
      </c>
      <c r="D151" t="s">
        <v>20</v>
      </c>
      <c r="E151" t="s">
        <v>669</v>
      </c>
      <c r="F151" t="s">
        <v>20</v>
      </c>
      <c r="G151" t="s">
        <v>689</v>
      </c>
      <c r="H151" t="s">
        <v>20</v>
      </c>
      <c r="I151" t="s">
        <v>689</v>
      </c>
      <c r="J151" t="s">
        <v>20</v>
      </c>
      <c r="K151" s="19" t="s">
        <v>689</v>
      </c>
      <c r="L151" t="s">
        <v>20</v>
      </c>
      <c r="M151" t="s">
        <v>701</v>
      </c>
      <c r="N151" t="s">
        <v>20</v>
      </c>
      <c r="O151" t="s">
        <v>618</v>
      </c>
      <c r="P151" t="s">
        <v>20</v>
      </c>
      <c r="Q151" t="s">
        <v>618</v>
      </c>
      <c r="R151" t="s">
        <v>20</v>
      </c>
      <c r="S151" t="s">
        <v>618</v>
      </c>
      <c r="T151" t="s">
        <v>20</v>
      </c>
      <c r="U151" t="s">
        <v>21</v>
      </c>
      <c r="V151" t="s">
        <v>20</v>
      </c>
      <c r="W151" t="s">
        <v>278</v>
      </c>
      <c r="X151" t="s">
        <v>20</v>
      </c>
      <c r="Y151" t="s">
        <v>19</v>
      </c>
      <c r="Z151" t="s">
        <v>20</v>
      </c>
      <c r="AA151">
        <v>0.2391653</v>
      </c>
      <c r="AB151" t="s">
        <v>20</v>
      </c>
      <c r="AC151">
        <v>0.3984375</v>
      </c>
      <c r="AD151" t="s">
        <v>20</v>
      </c>
      <c r="AE151">
        <v>0.117175</v>
      </c>
      <c r="AF151" t="s">
        <v>20</v>
      </c>
      <c r="AG151">
        <v>0.2421875</v>
      </c>
      <c r="AJ151" t="str">
        <f>VLOOKUP(Sheet1!W151,'알람 범위'!$D$2:$F$45,3,FALSE)</f>
        <v>20500</v>
      </c>
      <c r="AK151">
        <v>11</v>
      </c>
      <c r="AL151">
        <f t="shared" ref="AL151:AL154" si="44">AJ151+AK151</f>
        <v>20511</v>
      </c>
      <c r="AM151" t="str">
        <f t="shared" si="36"/>
        <v>VI_PRE_ALIGN_P2_OVERRANGE_X</v>
      </c>
    </row>
    <row r="152" spans="1:39" x14ac:dyDescent="0.3">
      <c r="A152">
        <f t="shared" si="43"/>
        <v>20512</v>
      </c>
      <c r="B152" t="s">
        <v>20</v>
      </c>
      <c r="C152" t="s">
        <v>650</v>
      </c>
      <c r="D152" t="s">
        <v>20</v>
      </c>
      <c r="E152" t="s">
        <v>670</v>
      </c>
      <c r="F152" t="s">
        <v>20</v>
      </c>
      <c r="G152" t="s">
        <v>690</v>
      </c>
      <c r="H152" t="s">
        <v>20</v>
      </c>
      <c r="I152" t="s">
        <v>690</v>
      </c>
      <c r="J152" t="s">
        <v>20</v>
      </c>
      <c r="K152" s="19" t="s">
        <v>690</v>
      </c>
      <c r="L152" t="s">
        <v>20</v>
      </c>
      <c r="M152" t="s">
        <v>701</v>
      </c>
      <c r="N152" t="s">
        <v>20</v>
      </c>
      <c r="O152" t="s">
        <v>618</v>
      </c>
      <c r="P152" t="s">
        <v>20</v>
      </c>
      <c r="Q152" t="s">
        <v>618</v>
      </c>
      <c r="R152" t="s">
        <v>20</v>
      </c>
      <c r="S152" t="s">
        <v>618</v>
      </c>
      <c r="T152" t="s">
        <v>20</v>
      </c>
      <c r="U152" t="s">
        <v>21</v>
      </c>
      <c r="V152" t="s">
        <v>20</v>
      </c>
      <c r="W152" t="s">
        <v>278</v>
      </c>
      <c r="X152" t="s">
        <v>20</v>
      </c>
      <c r="Y152" t="s">
        <v>19</v>
      </c>
      <c r="Z152" t="s">
        <v>20</v>
      </c>
      <c r="AA152">
        <v>0.2391653</v>
      </c>
      <c r="AB152" t="s">
        <v>20</v>
      </c>
      <c r="AC152">
        <v>0.3984375</v>
      </c>
      <c r="AD152" t="s">
        <v>20</v>
      </c>
      <c r="AE152">
        <v>0.117175</v>
      </c>
      <c r="AF152" t="s">
        <v>20</v>
      </c>
      <c r="AG152">
        <v>0.2421875</v>
      </c>
      <c r="AJ152" t="str">
        <f>VLOOKUP(Sheet1!W152,'알람 범위'!$D$2:$F$45,3,FALSE)</f>
        <v>20500</v>
      </c>
      <c r="AK152">
        <v>12</v>
      </c>
      <c r="AL152">
        <f t="shared" si="44"/>
        <v>20512</v>
      </c>
      <c r="AM152" t="str">
        <f t="shared" si="36"/>
        <v>VI_PRE_ALIGN_P2_OVERRANGE_Y</v>
      </c>
    </row>
    <row r="153" spans="1:39" x14ac:dyDescent="0.3">
      <c r="A153">
        <f t="shared" si="43"/>
        <v>20513</v>
      </c>
      <c r="B153" t="s">
        <v>20</v>
      </c>
      <c r="C153" t="s">
        <v>651</v>
      </c>
      <c r="D153" t="s">
        <v>20</v>
      </c>
      <c r="E153" t="s">
        <v>671</v>
      </c>
      <c r="F153" t="s">
        <v>20</v>
      </c>
      <c r="G153" t="s">
        <v>691</v>
      </c>
      <c r="H153" t="s">
        <v>20</v>
      </c>
      <c r="I153" t="s">
        <v>691</v>
      </c>
      <c r="J153" t="s">
        <v>20</v>
      </c>
      <c r="K153" s="19" t="s">
        <v>691</v>
      </c>
      <c r="L153" t="s">
        <v>20</v>
      </c>
      <c r="M153" t="s">
        <v>701</v>
      </c>
      <c r="N153" t="s">
        <v>20</v>
      </c>
      <c r="O153" t="s">
        <v>618</v>
      </c>
      <c r="P153" t="s">
        <v>20</v>
      </c>
      <c r="Q153" t="s">
        <v>618</v>
      </c>
      <c r="R153" t="s">
        <v>20</v>
      </c>
      <c r="S153" t="s">
        <v>618</v>
      </c>
      <c r="T153" t="s">
        <v>20</v>
      </c>
      <c r="U153" t="s">
        <v>21</v>
      </c>
      <c r="V153" t="s">
        <v>20</v>
      </c>
      <c r="W153" t="s">
        <v>278</v>
      </c>
      <c r="X153" t="s">
        <v>20</v>
      </c>
      <c r="Y153" t="s">
        <v>19</v>
      </c>
      <c r="Z153" t="s">
        <v>20</v>
      </c>
      <c r="AA153">
        <v>0.2391653</v>
      </c>
      <c r="AB153" t="s">
        <v>20</v>
      </c>
      <c r="AC153">
        <v>0.3984375</v>
      </c>
      <c r="AD153" t="s">
        <v>20</v>
      </c>
      <c r="AE153">
        <v>0.117175</v>
      </c>
      <c r="AF153" t="s">
        <v>20</v>
      </c>
      <c r="AG153">
        <v>0.2421875</v>
      </c>
      <c r="AJ153" t="str">
        <f>VLOOKUP(Sheet1!W153,'알람 범위'!$D$2:$F$45,3,FALSE)</f>
        <v>20500</v>
      </c>
      <c r="AK153">
        <v>13</v>
      </c>
      <c r="AL153">
        <f t="shared" si="44"/>
        <v>20513</v>
      </c>
      <c r="AM153" t="str">
        <f t="shared" si="36"/>
        <v>VI_PRE_ALIGN_P2_OVERRANGE_T</v>
      </c>
    </row>
    <row r="154" spans="1:39" x14ac:dyDescent="0.3">
      <c r="A154">
        <f t="shared" ref="A154" si="45">AL154</f>
        <v>20514</v>
      </c>
      <c r="B154" t="s">
        <v>20</v>
      </c>
      <c r="C154" t="s">
        <v>652</v>
      </c>
      <c r="D154" t="s">
        <v>20</v>
      </c>
      <c r="E154" t="s">
        <v>672</v>
      </c>
      <c r="F154" t="s">
        <v>20</v>
      </c>
      <c r="G154" t="s">
        <v>692</v>
      </c>
      <c r="H154" t="s">
        <v>20</v>
      </c>
      <c r="I154" t="s">
        <v>692</v>
      </c>
      <c r="J154" t="s">
        <v>20</v>
      </c>
      <c r="K154" s="19" t="s">
        <v>692</v>
      </c>
      <c r="L154" t="s">
        <v>20</v>
      </c>
      <c r="M154" t="s">
        <v>701</v>
      </c>
      <c r="N154" t="s">
        <v>20</v>
      </c>
      <c r="O154" t="s">
        <v>618</v>
      </c>
      <c r="P154" t="s">
        <v>20</v>
      </c>
      <c r="Q154" t="s">
        <v>618</v>
      </c>
      <c r="R154" t="s">
        <v>20</v>
      </c>
      <c r="S154" t="s">
        <v>618</v>
      </c>
      <c r="T154" t="s">
        <v>20</v>
      </c>
      <c r="U154" t="s">
        <v>21</v>
      </c>
      <c r="V154" t="s">
        <v>20</v>
      </c>
      <c r="W154" t="s">
        <v>278</v>
      </c>
      <c r="X154" t="s">
        <v>20</v>
      </c>
      <c r="Y154" t="s">
        <v>19</v>
      </c>
      <c r="Z154" t="s">
        <v>20</v>
      </c>
      <c r="AA154">
        <v>0.2391653</v>
      </c>
      <c r="AB154" t="s">
        <v>20</v>
      </c>
      <c r="AC154">
        <v>0.3984375</v>
      </c>
      <c r="AD154" t="s">
        <v>20</v>
      </c>
      <c r="AE154">
        <v>0.117175</v>
      </c>
      <c r="AF154" t="s">
        <v>20</v>
      </c>
      <c r="AG154">
        <v>0.2421875</v>
      </c>
      <c r="AJ154" t="str">
        <f>VLOOKUP(Sheet1!W154,'알람 범위'!$D$2:$F$45,3,FALSE)</f>
        <v>20500</v>
      </c>
      <c r="AK154">
        <v>14</v>
      </c>
      <c r="AL154">
        <f t="shared" si="44"/>
        <v>20514</v>
      </c>
      <c r="AM154" t="str">
        <f t="shared" si="36"/>
        <v>VI_PRE_ALIGN_P2_OVERRANGE_SCORE</v>
      </c>
    </row>
    <row r="155" spans="1:39" x14ac:dyDescent="0.3">
      <c r="A155">
        <f t="shared" si="43"/>
        <v>20515</v>
      </c>
      <c r="B155" t="s">
        <v>20</v>
      </c>
      <c r="C155" t="s">
        <v>653</v>
      </c>
      <c r="D155" t="s">
        <v>20</v>
      </c>
      <c r="E155" t="s">
        <v>673</v>
      </c>
      <c r="F155" t="s">
        <v>20</v>
      </c>
      <c r="G155" t="s">
        <v>693</v>
      </c>
      <c r="H155" t="s">
        <v>20</v>
      </c>
      <c r="I155" t="s">
        <v>693</v>
      </c>
      <c r="J155" t="s">
        <v>20</v>
      </c>
      <c r="K155" t="s">
        <v>693</v>
      </c>
      <c r="L155" t="s">
        <v>20</v>
      </c>
      <c r="M155" t="s">
        <v>702</v>
      </c>
      <c r="N155" t="s">
        <v>20</v>
      </c>
      <c r="O155" t="s">
        <v>619</v>
      </c>
      <c r="P155" t="s">
        <v>20</v>
      </c>
      <c r="Q155" t="s">
        <v>619</v>
      </c>
      <c r="R155" t="s">
        <v>20</v>
      </c>
      <c r="S155" t="s">
        <v>619</v>
      </c>
      <c r="T155" t="s">
        <v>20</v>
      </c>
      <c r="U155" t="s">
        <v>21</v>
      </c>
      <c r="V155" t="s">
        <v>20</v>
      </c>
      <c r="W155" t="s">
        <v>279</v>
      </c>
      <c r="X155" t="s">
        <v>20</v>
      </c>
      <c r="Y155" t="s">
        <v>19</v>
      </c>
      <c r="Z155" t="s">
        <v>20</v>
      </c>
      <c r="AA155">
        <v>0.2391653</v>
      </c>
      <c r="AB155" t="s">
        <v>20</v>
      </c>
      <c r="AC155">
        <v>0.3984375</v>
      </c>
      <c r="AD155" t="s">
        <v>20</v>
      </c>
      <c r="AE155">
        <v>0.117175</v>
      </c>
      <c r="AF155" t="s">
        <v>20</v>
      </c>
      <c r="AG155">
        <v>0.2421875</v>
      </c>
      <c r="AJ155" t="str">
        <f>VLOOKUP(Sheet1!W155,'알람 범위'!$D$2:$F$45,3,FALSE)</f>
        <v>20500</v>
      </c>
      <c r="AK155">
        <v>15</v>
      </c>
      <c r="AL155">
        <f t="shared" si="42"/>
        <v>20515</v>
      </c>
      <c r="AM155" t="str">
        <f t="shared" si="36"/>
        <v>VI_PRE_ALIGN_RETRY_COUNTOVER</v>
      </c>
    </row>
    <row r="156" spans="1:39" x14ac:dyDescent="0.3">
      <c r="A156">
        <f t="shared" si="43"/>
        <v>20550</v>
      </c>
      <c r="B156" t="s">
        <v>20</v>
      </c>
      <c r="C156" t="s">
        <v>654</v>
      </c>
      <c r="D156" t="s">
        <v>20</v>
      </c>
      <c r="E156" t="s">
        <v>674</v>
      </c>
      <c r="F156" t="s">
        <v>20</v>
      </c>
      <c r="G156" t="s">
        <v>694</v>
      </c>
      <c r="H156" t="s">
        <v>20</v>
      </c>
      <c r="I156" t="s">
        <v>694</v>
      </c>
      <c r="J156" t="s">
        <v>20</v>
      </c>
      <c r="K156" t="s">
        <v>694</v>
      </c>
      <c r="L156" t="s">
        <v>20</v>
      </c>
      <c r="M156" t="s">
        <v>703</v>
      </c>
      <c r="N156" t="s">
        <v>20</v>
      </c>
      <c r="O156" t="s">
        <v>620</v>
      </c>
      <c r="P156" t="s">
        <v>20</v>
      </c>
      <c r="Q156" t="s">
        <v>620</v>
      </c>
      <c r="R156" t="s">
        <v>20</v>
      </c>
      <c r="S156" t="s">
        <v>620</v>
      </c>
      <c r="T156" t="s">
        <v>20</v>
      </c>
      <c r="U156" t="s">
        <v>21</v>
      </c>
      <c r="V156" t="s">
        <v>20</v>
      </c>
      <c r="W156" t="s">
        <v>278</v>
      </c>
      <c r="X156" t="s">
        <v>20</v>
      </c>
      <c r="Y156" t="s">
        <v>19</v>
      </c>
      <c r="Z156" t="s">
        <v>20</v>
      </c>
      <c r="AA156">
        <v>0.2391653</v>
      </c>
      <c r="AB156" t="s">
        <v>20</v>
      </c>
      <c r="AC156">
        <v>0.3984375</v>
      </c>
      <c r="AD156" t="s">
        <v>20</v>
      </c>
      <c r="AE156">
        <v>0.117175</v>
      </c>
      <c r="AF156" t="s">
        <v>20</v>
      </c>
      <c r="AG156">
        <v>0.2421875</v>
      </c>
      <c r="AJ156" t="str">
        <f>VLOOKUP(Sheet1!W156,'알람 범위'!$D$2:$F$45,3,FALSE)</f>
        <v>20500</v>
      </c>
      <c r="AK156">
        <v>50</v>
      </c>
      <c r="AL156">
        <f>AJ156+AK156</f>
        <v>20550</v>
      </c>
      <c r="AM156" t="str">
        <f t="shared" si="36"/>
        <v>VI_PRE_ALIGN_ERROR_SYSTEM_NOT_RUNNING</v>
      </c>
    </row>
    <row r="157" spans="1:39" x14ac:dyDescent="0.3">
      <c r="A157">
        <f t="shared" si="43"/>
        <v>20551</v>
      </c>
      <c r="B157" t="s">
        <v>20</v>
      </c>
      <c r="C157" t="s">
        <v>655</v>
      </c>
      <c r="D157" t="s">
        <v>20</v>
      </c>
      <c r="E157" t="s">
        <v>675</v>
      </c>
      <c r="F157" t="s">
        <v>20</v>
      </c>
      <c r="G157" t="s">
        <v>695</v>
      </c>
      <c r="H157" t="s">
        <v>20</v>
      </c>
      <c r="I157" t="s">
        <v>695</v>
      </c>
      <c r="J157" t="s">
        <v>20</v>
      </c>
      <c r="K157" t="s">
        <v>695</v>
      </c>
      <c r="L157" t="s">
        <v>20</v>
      </c>
      <c r="M157" t="s">
        <v>704</v>
      </c>
      <c r="N157" t="s">
        <v>20</v>
      </c>
      <c r="O157" t="s">
        <v>621</v>
      </c>
      <c r="P157" t="s">
        <v>20</v>
      </c>
      <c r="Q157" t="s">
        <v>621</v>
      </c>
      <c r="R157" t="s">
        <v>20</v>
      </c>
      <c r="S157" t="s">
        <v>621</v>
      </c>
      <c r="T157" t="s">
        <v>20</v>
      </c>
      <c r="U157" t="s">
        <v>21</v>
      </c>
      <c r="V157" t="s">
        <v>20</v>
      </c>
      <c r="W157" t="s">
        <v>278</v>
      </c>
      <c r="X157" t="s">
        <v>20</v>
      </c>
      <c r="Y157" t="s">
        <v>19</v>
      </c>
      <c r="Z157" t="s">
        <v>20</v>
      </c>
      <c r="AA157">
        <v>0.2391653</v>
      </c>
      <c r="AB157" t="s">
        <v>20</v>
      </c>
      <c r="AC157">
        <v>0.3984375</v>
      </c>
      <c r="AD157" t="s">
        <v>20</v>
      </c>
      <c r="AE157">
        <v>0.117175</v>
      </c>
      <c r="AF157" t="s">
        <v>20</v>
      </c>
      <c r="AG157">
        <v>0.2421875</v>
      </c>
      <c r="AJ157" t="str">
        <f>VLOOKUP(Sheet1!W157,'알람 범위'!$D$2:$F$45,3,FALSE)</f>
        <v>20500</v>
      </c>
      <c r="AK157">
        <v>51</v>
      </c>
      <c r="AL157">
        <f>AJ157+AK157</f>
        <v>20551</v>
      </c>
      <c r="AM157" t="str">
        <f t="shared" si="36"/>
        <v>VI_PRE_ALIGN_ERROR_CAMERA</v>
      </c>
    </row>
    <row r="158" spans="1:39" x14ac:dyDescent="0.3">
      <c r="A158">
        <f t="shared" si="43"/>
        <v>20552</v>
      </c>
      <c r="B158" t="s">
        <v>20</v>
      </c>
      <c r="C158" t="s">
        <v>656</v>
      </c>
      <c r="D158" t="s">
        <v>20</v>
      </c>
      <c r="E158" t="s">
        <v>676</v>
      </c>
      <c r="F158" t="s">
        <v>20</v>
      </c>
      <c r="G158" t="s">
        <v>696</v>
      </c>
      <c r="H158" t="s">
        <v>20</v>
      </c>
      <c r="I158" t="s">
        <v>696</v>
      </c>
      <c r="J158" t="s">
        <v>20</v>
      </c>
      <c r="K158" t="s">
        <v>696</v>
      </c>
      <c r="L158" t="s">
        <v>20</v>
      </c>
      <c r="M158" t="s">
        <v>705</v>
      </c>
      <c r="N158" t="s">
        <v>20</v>
      </c>
      <c r="O158" t="s">
        <v>622</v>
      </c>
      <c r="P158" t="s">
        <v>20</v>
      </c>
      <c r="Q158" t="s">
        <v>622</v>
      </c>
      <c r="R158" t="s">
        <v>20</v>
      </c>
      <c r="S158" t="s">
        <v>622</v>
      </c>
      <c r="T158" t="s">
        <v>20</v>
      </c>
      <c r="U158" t="s">
        <v>21</v>
      </c>
      <c r="V158" t="s">
        <v>20</v>
      </c>
      <c r="W158" t="s">
        <v>278</v>
      </c>
      <c r="X158" t="s">
        <v>20</v>
      </c>
      <c r="Y158" t="s">
        <v>19</v>
      </c>
      <c r="Z158" t="s">
        <v>20</v>
      </c>
      <c r="AA158">
        <v>0.2391653</v>
      </c>
      <c r="AB158" t="s">
        <v>20</v>
      </c>
      <c r="AC158">
        <v>0.3984375</v>
      </c>
      <c r="AD158" t="s">
        <v>20</v>
      </c>
      <c r="AE158">
        <v>0.117175</v>
      </c>
      <c r="AF158" t="s">
        <v>20</v>
      </c>
      <c r="AG158">
        <v>0.2421875</v>
      </c>
      <c r="AJ158" t="str">
        <f>VLOOKUP(Sheet1!W158,'알람 범위'!$D$2:$F$45,3,FALSE)</f>
        <v>20500</v>
      </c>
      <c r="AK158">
        <v>52</v>
      </c>
      <c r="AL158">
        <f>AJ158+AK158</f>
        <v>20552</v>
      </c>
      <c r="AM158" t="str">
        <f t="shared" si="36"/>
        <v>VI_PRE_ALIGN_ERROR_LIGHT_CONTROLLER</v>
      </c>
    </row>
    <row r="159" spans="1:39" x14ac:dyDescent="0.3">
      <c r="A159">
        <f t="shared" si="43"/>
        <v>20553</v>
      </c>
      <c r="B159" t="s">
        <v>20</v>
      </c>
      <c r="C159" t="s">
        <v>657</v>
      </c>
      <c r="D159" t="s">
        <v>20</v>
      </c>
      <c r="E159" t="s">
        <v>677</v>
      </c>
      <c r="F159" t="s">
        <v>20</v>
      </c>
      <c r="G159" t="s">
        <v>697</v>
      </c>
      <c r="H159" t="s">
        <v>20</v>
      </c>
      <c r="I159" t="s">
        <v>697</v>
      </c>
      <c r="J159" t="s">
        <v>20</v>
      </c>
      <c r="K159" t="s">
        <v>697</v>
      </c>
      <c r="L159" t="s">
        <v>20</v>
      </c>
      <c r="M159" t="s">
        <v>706</v>
      </c>
      <c r="N159" t="s">
        <v>20</v>
      </c>
      <c r="O159" t="s">
        <v>623</v>
      </c>
      <c r="P159" t="s">
        <v>20</v>
      </c>
      <c r="Q159" t="s">
        <v>623</v>
      </c>
      <c r="R159" t="s">
        <v>20</v>
      </c>
      <c r="S159" t="s">
        <v>623</v>
      </c>
      <c r="T159" t="s">
        <v>20</v>
      </c>
      <c r="U159" t="s">
        <v>21</v>
      </c>
      <c r="V159" t="s">
        <v>20</v>
      </c>
      <c r="W159" t="s">
        <v>278</v>
      </c>
      <c r="X159" t="s">
        <v>20</v>
      </c>
      <c r="Y159" t="s">
        <v>19</v>
      </c>
      <c r="Z159" t="s">
        <v>20</v>
      </c>
      <c r="AA159">
        <v>0.2391653</v>
      </c>
      <c r="AB159" t="s">
        <v>20</v>
      </c>
      <c r="AC159">
        <v>0.3984375</v>
      </c>
      <c r="AD159" t="s">
        <v>20</v>
      </c>
      <c r="AE159">
        <v>0.117175</v>
      </c>
      <c r="AF159" t="s">
        <v>20</v>
      </c>
      <c r="AG159">
        <v>0.2421875</v>
      </c>
      <c r="AJ159" t="str">
        <f>VLOOKUP(Sheet1!W159,'알람 범위'!$D$2:$F$45,3,FALSE)</f>
        <v>20500</v>
      </c>
      <c r="AK159">
        <v>53</v>
      </c>
      <c r="AL159">
        <f>AJ159+AK159</f>
        <v>20553</v>
      </c>
      <c r="AM159" t="str">
        <f t="shared" si="36"/>
        <v>VI_PRE_ALIGN_ERROR_LIGHT_TEMP_OVER</v>
      </c>
    </row>
    <row r="160" spans="1:39" x14ac:dyDescent="0.3">
      <c r="A160">
        <f t="shared" ref="A160:A172" si="46">AL160</f>
        <v>21000</v>
      </c>
      <c r="B160" t="s">
        <v>20</v>
      </c>
      <c r="C160" t="s">
        <v>887</v>
      </c>
      <c r="D160" t="s">
        <v>20</v>
      </c>
      <c r="E160" t="s">
        <v>902</v>
      </c>
      <c r="F160" t="s">
        <v>20</v>
      </c>
      <c r="G160" t="s">
        <v>916</v>
      </c>
      <c r="H160" t="s">
        <v>20</v>
      </c>
      <c r="I160" t="s">
        <v>916</v>
      </c>
      <c r="J160" t="s">
        <v>20</v>
      </c>
      <c r="K160" t="s">
        <v>916</v>
      </c>
      <c r="L160" t="s">
        <v>20</v>
      </c>
      <c r="M160" t="s">
        <v>931</v>
      </c>
      <c r="N160" t="s">
        <v>20</v>
      </c>
      <c r="O160" t="s">
        <v>935</v>
      </c>
      <c r="P160" t="s">
        <v>20</v>
      </c>
      <c r="Q160" t="s">
        <v>935</v>
      </c>
      <c r="R160" t="s">
        <v>20</v>
      </c>
      <c r="S160" t="s">
        <v>939</v>
      </c>
      <c r="T160" t="s">
        <v>20</v>
      </c>
      <c r="U160" t="s">
        <v>21</v>
      </c>
      <c r="V160" t="s">
        <v>20</v>
      </c>
      <c r="W160" t="s">
        <v>407</v>
      </c>
      <c r="X160" t="s">
        <v>20</v>
      </c>
      <c r="Y160" t="s">
        <v>19</v>
      </c>
      <c r="Z160" t="s">
        <v>20</v>
      </c>
      <c r="AA160">
        <v>0.49117169999999999</v>
      </c>
      <c r="AB160" t="s">
        <v>20</v>
      </c>
      <c r="AC160">
        <v>0.65885419999999995</v>
      </c>
      <c r="AD160" t="s">
        <v>20</v>
      </c>
      <c r="AE160">
        <v>0.32744780000000001</v>
      </c>
      <c r="AF160" t="s">
        <v>20</v>
      </c>
      <c r="AG160">
        <v>0.1796875</v>
      </c>
      <c r="AJ160" t="str">
        <f>VLOOKUP(Sheet1!W160,'알람 범위'!$D$2:$F$45,3,FALSE)</f>
        <v>21000</v>
      </c>
      <c r="AK160">
        <v>0</v>
      </c>
      <c r="AL160">
        <f t="shared" ref="AL160:AL169" si="47">AJ160+AK160</f>
        <v>21000</v>
      </c>
      <c r="AM160" t="str">
        <f t="shared" si="36"/>
        <v>CO_INSP_PC_MAIN_N_DISCONNECTED</v>
      </c>
    </row>
    <row r="161" spans="1:39" x14ac:dyDescent="0.3">
      <c r="A161">
        <f>AL161</f>
        <v>21001</v>
      </c>
      <c r="B161" t="s">
        <v>20</v>
      </c>
      <c r="C161" t="s">
        <v>888</v>
      </c>
      <c r="D161" t="s">
        <v>20</v>
      </c>
      <c r="E161" t="s">
        <v>903</v>
      </c>
      <c r="F161" t="s">
        <v>20</v>
      </c>
      <c r="G161" t="s">
        <v>917</v>
      </c>
      <c r="H161" t="s">
        <v>20</v>
      </c>
      <c r="I161" t="s">
        <v>917</v>
      </c>
      <c r="J161" t="s">
        <v>20</v>
      </c>
      <c r="K161" t="s">
        <v>917</v>
      </c>
      <c r="L161" t="s">
        <v>20</v>
      </c>
      <c r="M161" t="s">
        <v>931</v>
      </c>
      <c r="N161" t="s">
        <v>20</v>
      </c>
      <c r="O161" t="s">
        <v>935</v>
      </c>
      <c r="P161" t="s">
        <v>20</v>
      </c>
      <c r="Q161" t="s">
        <v>935</v>
      </c>
      <c r="R161" t="s">
        <v>20</v>
      </c>
      <c r="S161" t="s">
        <v>939</v>
      </c>
      <c r="T161" t="s">
        <v>20</v>
      </c>
      <c r="U161" t="s">
        <v>21</v>
      </c>
      <c r="V161" t="s">
        <v>20</v>
      </c>
      <c r="W161" t="s">
        <v>408</v>
      </c>
      <c r="X161" t="s">
        <v>20</v>
      </c>
      <c r="Y161" t="s">
        <v>19</v>
      </c>
      <c r="Z161" t="s">
        <v>20</v>
      </c>
      <c r="AA161">
        <v>0.49117169999999999</v>
      </c>
      <c r="AB161" t="s">
        <v>20</v>
      </c>
      <c r="AC161">
        <v>0.65885419999999995</v>
      </c>
      <c r="AD161" t="s">
        <v>20</v>
      </c>
      <c r="AE161">
        <v>0.32744780000000001</v>
      </c>
      <c r="AF161" t="s">
        <v>20</v>
      </c>
      <c r="AG161">
        <v>0.1796875</v>
      </c>
      <c r="AJ161" t="str">
        <f>VLOOKUP(Sheet1!W161,'알람 범위'!$D$2:$F$45,3,FALSE)</f>
        <v>21000</v>
      </c>
      <c r="AK161">
        <v>1</v>
      </c>
      <c r="AL161">
        <f>AJ161+AK161</f>
        <v>21001</v>
      </c>
      <c r="AM161" t="str">
        <f t="shared" si="36"/>
        <v>CO_INSP_PC_MAIN_LIGHT_INTENCITY_REQUEST</v>
      </c>
    </row>
    <row r="162" spans="1:39" x14ac:dyDescent="0.3">
      <c r="A162">
        <f>AL162</f>
        <v>21002</v>
      </c>
      <c r="B162" t="s">
        <v>20</v>
      </c>
      <c r="C162" t="s">
        <v>889</v>
      </c>
      <c r="D162" t="s">
        <v>20</v>
      </c>
      <c r="E162" t="s">
        <v>904</v>
      </c>
      <c r="F162" t="s">
        <v>20</v>
      </c>
      <c r="G162" t="s">
        <v>918</v>
      </c>
      <c r="H162" t="s">
        <v>20</v>
      </c>
      <c r="I162" t="s">
        <v>918</v>
      </c>
      <c r="J162" t="s">
        <v>20</v>
      </c>
      <c r="K162" t="s">
        <v>918</v>
      </c>
      <c r="L162" t="s">
        <v>20</v>
      </c>
      <c r="M162" t="s">
        <v>931</v>
      </c>
      <c r="N162" t="s">
        <v>20</v>
      </c>
      <c r="O162" t="s">
        <v>935</v>
      </c>
      <c r="P162" t="s">
        <v>20</v>
      </c>
      <c r="Q162" t="s">
        <v>935</v>
      </c>
      <c r="R162" t="s">
        <v>20</v>
      </c>
      <c r="S162" t="s">
        <v>939</v>
      </c>
      <c r="T162" t="s">
        <v>20</v>
      </c>
      <c r="U162" t="s">
        <v>21</v>
      </c>
      <c r="V162" t="s">
        <v>20</v>
      </c>
      <c r="W162" t="s">
        <v>408</v>
      </c>
      <c r="X162" t="s">
        <v>20</v>
      </c>
      <c r="Y162" t="s">
        <v>19</v>
      </c>
      <c r="Z162" t="s">
        <v>20</v>
      </c>
      <c r="AA162">
        <v>0.49117169999999999</v>
      </c>
      <c r="AB162" t="s">
        <v>20</v>
      </c>
      <c r="AC162">
        <v>0.65885419999999995</v>
      </c>
      <c r="AD162" t="s">
        <v>20</v>
      </c>
      <c r="AE162">
        <v>0.32744780000000001</v>
      </c>
      <c r="AF162" t="s">
        <v>20</v>
      </c>
      <c r="AG162">
        <v>0.1796875</v>
      </c>
      <c r="AJ162" t="str">
        <f>VLOOKUP(Sheet1!W162,'알람 범위'!$D$2:$F$45,3,FALSE)</f>
        <v>21000</v>
      </c>
      <c r="AK162">
        <v>2</v>
      </c>
      <c r="AL162">
        <f>AJ162+AK162</f>
        <v>21002</v>
      </c>
      <c r="AM162" t="str">
        <f t="shared" si="36"/>
        <v>CO_INSP_PC_MAIN_LIGHT_TEMPERATURE_REQUEST</v>
      </c>
    </row>
    <row r="163" spans="1:39" x14ac:dyDescent="0.3">
      <c r="A163">
        <f>AL163</f>
        <v>21003</v>
      </c>
      <c r="B163" t="s">
        <v>20</v>
      </c>
      <c r="C163" t="s">
        <v>890</v>
      </c>
      <c r="D163" t="s">
        <v>20</v>
      </c>
      <c r="E163" t="s">
        <v>905</v>
      </c>
      <c r="F163" t="s">
        <v>20</v>
      </c>
      <c r="G163" t="s">
        <v>919</v>
      </c>
      <c r="H163" t="s">
        <v>20</v>
      </c>
      <c r="I163" t="s">
        <v>919</v>
      </c>
      <c r="J163" t="s">
        <v>20</v>
      </c>
      <c r="K163" t="s">
        <v>919</v>
      </c>
      <c r="L163" t="s">
        <v>20</v>
      </c>
      <c r="M163" t="s">
        <v>931</v>
      </c>
      <c r="N163" t="s">
        <v>20</v>
      </c>
      <c r="O163" t="s">
        <v>935</v>
      </c>
      <c r="P163" t="s">
        <v>20</v>
      </c>
      <c r="Q163" t="s">
        <v>935</v>
      </c>
      <c r="R163" t="s">
        <v>20</v>
      </c>
      <c r="S163" t="s">
        <v>939</v>
      </c>
      <c r="T163" t="s">
        <v>20</v>
      </c>
      <c r="U163" t="s">
        <v>21</v>
      </c>
      <c r="V163" t="s">
        <v>20</v>
      </c>
      <c r="W163" t="s">
        <v>299</v>
      </c>
      <c r="X163" t="s">
        <v>20</v>
      </c>
      <c r="Y163" t="s">
        <v>19</v>
      </c>
      <c r="Z163" t="s">
        <v>20</v>
      </c>
      <c r="AA163">
        <v>0.49117169999999999</v>
      </c>
      <c r="AB163" t="s">
        <v>20</v>
      </c>
      <c r="AC163">
        <v>0.65885419999999995</v>
      </c>
      <c r="AD163" t="s">
        <v>20</v>
      </c>
      <c r="AE163">
        <v>0.32744780000000001</v>
      </c>
      <c r="AF163" t="s">
        <v>20</v>
      </c>
      <c r="AG163">
        <v>0.1796875</v>
      </c>
      <c r="AJ163" t="str">
        <f>VLOOKUP(Sheet1!W163,'알람 범위'!$D$2:$F$45,3,FALSE)</f>
        <v>21000</v>
      </c>
      <c r="AK163">
        <v>3</v>
      </c>
      <c r="AL163">
        <f>AJ163+AK163</f>
        <v>21003</v>
      </c>
      <c r="AM163" t="str">
        <f t="shared" si="36"/>
        <v>CO_INSP_PC_MAIN_CHECK_STATUS_SEND</v>
      </c>
    </row>
    <row r="164" spans="1:39" x14ac:dyDescent="0.3">
      <c r="A164">
        <f>AL164</f>
        <v>21004</v>
      </c>
      <c r="B164" t="s">
        <v>20</v>
      </c>
      <c r="C164" t="s">
        <v>891</v>
      </c>
      <c r="D164" t="s">
        <v>20</v>
      </c>
      <c r="E164" t="s">
        <v>906</v>
      </c>
      <c r="F164" t="s">
        <v>20</v>
      </c>
      <c r="G164" t="s">
        <v>920</v>
      </c>
      <c r="H164" t="s">
        <v>20</v>
      </c>
      <c r="I164" t="s">
        <v>920</v>
      </c>
      <c r="J164" t="s">
        <v>20</v>
      </c>
      <c r="K164" t="s">
        <v>920</v>
      </c>
      <c r="L164" t="s">
        <v>20</v>
      </c>
      <c r="M164" t="s">
        <v>931</v>
      </c>
      <c r="N164" t="s">
        <v>20</v>
      </c>
      <c r="O164" t="s">
        <v>935</v>
      </c>
      <c r="P164" t="s">
        <v>20</v>
      </c>
      <c r="Q164" t="s">
        <v>935</v>
      </c>
      <c r="R164" t="s">
        <v>20</v>
      </c>
      <c r="S164" t="s">
        <v>939</v>
      </c>
      <c r="T164" t="s">
        <v>20</v>
      </c>
      <c r="U164" t="s">
        <v>21</v>
      </c>
      <c r="V164" t="s">
        <v>20</v>
      </c>
      <c r="W164" t="s">
        <v>299</v>
      </c>
      <c r="X164" t="s">
        <v>20</v>
      </c>
      <c r="Y164" t="s">
        <v>19</v>
      </c>
      <c r="Z164" t="s">
        <v>20</v>
      </c>
      <c r="AA164">
        <v>0.49117169999999999</v>
      </c>
      <c r="AB164" t="s">
        <v>20</v>
      </c>
      <c r="AC164">
        <v>0.65885419999999995</v>
      </c>
      <c r="AD164" t="s">
        <v>20</v>
      </c>
      <c r="AE164">
        <v>0.32744780000000001</v>
      </c>
      <c r="AF164" t="s">
        <v>20</v>
      </c>
      <c r="AG164">
        <v>0.1796875</v>
      </c>
      <c r="AJ164" t="str">
        <f>VLOOKUP(Sheet1!W164,'알람 범위'!$D$2:$F$45,3,FALSE)</f>
        <v>21000</v>
      </c>
      <c r="AK164">
        <v>4</v>
      </c>
      <c r="AL164">
        <f>AJ164+AK164</f>
        <v>21004</v>
      </c>
      <c r="AM164" t="str">
        <f t="shared" si="36"/>
        <v>CO_INSP_PC_MAIN_NOT_READY</v>
      </c>
    </row>
    <row r="165" spans="1:39" x14ac:dyDescent="0.3">
      <c r="A165">
        <f t="shared" si="46"/>
        <v>21005</v>
      </c>
      <c r="B165" t="s">
        <v>20</v>
      </c>
      <c r="C165" t="s">
        <v>892</v>
      </c>
      <c r="D165" t="s">
        <v>20</v>
      </c>
      <c r="E165" t="s">
        <v>907</v>
      </c>
      <c r="F165" t="s">
        <v>20</v>
      </c>
      <c r="G165" t="s">
        <v>921</v>
      </c>
      <c r="H165" t="s">
        <v>20</v>
      </c>
      <c r="I165" t="s">
        <v>921</v>
      </c>
      <c r="J165" t="s">
        <v>20</v>
      </c>
      <c r="K165" t="s">
        <v>921</v>
      </c>
      <c r="L165" t="s">
        <v>20</v>
      </c>
      <c r="M165" t="s">
        <v>931</v>
      </c>
      <c r="N165" t="s">
        <v>20</v>
      </c>
      <c r="O165" t="s">
        <v>935</v>
      </c>
      <c r="P165" t="s">
        <v>20</v>
      </c>
      <c r="Q165" t="s">
        <v>935</v>
      </c>
      <c r="R165" t="s">
        <v>20</v>
      </c>
      <c r="S165" t="s">
        <v>939</v>
      </c>
      <c r="T165" t="s">
        <v>20</v>
      </c>
      <c r="U165" t="s">
        <v>21</v>
      </c>
      <c r="V165" t="s">
        <v>20</v>
      </c>
      <c r="W165" t="s">
        <v>407</v>
      </c>
      <c r="X165" t="s">
        <v>20</v>
      </c>
      <c r="Y165" t="s">
        <v>19</v>
      </c>
      <c r="Z165" t="s">
        <v>20</v>
      </c>
      <c r="AA165">
        <v>0.49117169999999999</v>
      </c>
      <c r="AB165" t="s">
        <v>20</v>
      </c>
      <c r="AC165">
        <v>0.65885419999999995</v>
      </c>
      <c r="AD165" t="s">
        <v>20</v>
      </c>
      <c r="AE165">
        <v>0.32744780000000001</v>
      </c>
      <c r="AF165" t="s">
        <v>20</v>
      </c>
      <c r="AG165">
        <v>0.1796875</v>
      </c>
      <c r="AJ165" t="str">
        <f>VLOOKUP(Sheet1!W165,'알람 범위'!$D$2:$F$45,3,FALSE)</f>
        <v>21000</v>
      </c>
      <c r="AK165">
        <v>5</v>
      </c>
      <c r="AL165">
        <f t="shared" si="47"/>
        <v>21005</v>
      </c>
      <c r="AM165" t="str">
        <f t="shared" si="36"/>
        <v>CO_INSP_PC_MAIN_GRAB_START_SEND</v>
      </c>
    </row>
    <row r="166" spans="1:39" x14ac:dyDescent="0.3">
      <c r="A166">
        <f t="shared" si="46"/>
        <v>21006</v>
      </c>
      <c r="B166" t="s">
        <v>20</v>
      </c>
      <c r="C166" t="s">
        <v>893</v>
      </c>
      <c r="D166" t="s">
        <v>20</v>
      </c>
      <c r="E166" t="s">
        <v>908</v>
      </c>
      <c r="F166" t="s">
        <v>20</v>
      </c>
      <c r="G166" t="s">
        <v>922</v>
      </c>
      <c r="H166" t="s">
        <v>20</v>
      </c>
      <c r="I166" t="s">
        <v>922</v>
      </c>
      <c r="J166" t="s">
        <v>20</v>
      </c>
      <c r="K166" t="s">
        <v>922</v>
      </c>
      <c r="L166" t="s">
        <v>20</v>
      </c>
      <c r="M166" t="s">
        <v>931</v>
      </c>
      <c r="N166" t="s">
        <v>20</v>
      </c>
      <c r="O166" t="s">
        <v>935</v>
      </c>
      <c r="P166" t="s">
        <v>20</v>
      </c>
      <c r="Q166" t="s">
        <v>935</v>
      </c>
      <c r="R166" t="s">
        <v>20</v>
      </c>
      <c r="S166" t="s">
        <v>939</v>
      </c>
      <c r="T166" t="s">
        <v>20</v>
      </c>
      <c r="U166" t="s">
        <v>21</v>
      </c>
      <c r="V166" t="s">
        <v>20</v>
      </c>
      <c r="W166" t="s">
        <v>407</v>
      </c>
      <c r="X166" t="s">
        <v>20</v>
      </c>
      <c r="Y166" t="s">
        <v>19</v>
      </c>
      <c r="Z166" t="s">
        <v>20</v>
      </c>
      <c r="AA166">
        <v>0.49117169999999999</v>
      </c>
      <c r="AB166" t="s">
        <v>20</v>
      </c>
      <c r="AC166">
        <v>0.65885419999999995</v>
      </c>
      <c r="AD166" t="s">
        <v>20</v>
      </c>
      <c r="AE166">
        <v>0.32744780000000001</v>
      </c>
      <c r="AF166" t="s">
        <v>20</v>
      </c>
      <c r="AG166">
        <v>0.1796875</v>
      </c>
      <c r="AJ166" t="str">
        <f>VLOOKUP(Sheet1!W166,'알람 범위'!$D$2:$F$45,3,FALSE)</f>
        <v>21000</v>
      </c>
      <c r="AK166">
        <v>6</v>
      </c>
      <c r="AL166">
        <f t="shared" si="47"/>
        <v>21006</v>
      </c>
      <c r="AM166" t="str">
        <f t="shared" si="36"/>
        <v>CO_INSP_PC_MAIN_GRAB_START_VALIDATION</v>
      </c>
    </row>
    <row r="167" spans="1:39" x14ac:dyDescent="0.3">
      <c r="A167">
        <f t="shared" si="46"/>
        <v>21007</v>
      </c>
      <c r="B167" t="s">
        <v>20</v>
      </c>
      <c r="C167" t="s">
        <v>894</v>
      </c>
      <c r="D167" t="s">
        <v>20</v>
      </c>
      <c r="E167" t="s">
        <v>987</v>
      </c>
      <c r="F167" t="s">
        <v>20</v>
      </c>
      <c r="G167" t="s">
        <v>930</v>
      </c>
      <c r="H167" t="s">
        <v>20</v>
      </c>
      <c r="I167" t="s">
        <v>930</v>
      </c>
      <c r="J167" t="s">
        <v>20</v>
      </c>
      <c r="K167" t="s">
        <v>930</v>
      </c>
      <c r="L167" t="s">
        <v>20</v>
      </c>
      <c r="M167" t="s">
        <v>931</v>
      </c>
      <c r="N167" t="s">
        <v>20</v>
      </c>
      <c r="O167" t="s">
        <v>935</v>
      </c>
      <c r="P167" t="s">
        <v>20</v>
      </c>
      <c r="Q167" t="s">
        <v>935</v>
      </c>
      <c r="R167" t="s">
        <v>20</v>
      </c>
      <c r="S167" t="s">
        <v>939</v>
      </c>
      <c r="T167" t="s">
        <v>20</v>
      </c>
      <c r="U167" t="s">
        <v>21</v>
      </c>
      <c r="V167" t="s">
        <v>20</v>
      </c>
      <c r="W167" t="s">
        <v>408</v>
      </c>
      <c r="X167" t="s">
        <v>20</v>
      </c>
      <c r="Y167" t="s">
        <v>19</v>
      </c>
      <c r="Z167" t="s">
        <v>20</v>
      </c>
      <c r="AA167">
        <v>0.49117169999999999</v>
      </c>
      <c r="AB167" t="s">
        <v>20</v>
      </c>
      <c r="AC167">
        <v>0.65885419999999995</v>
      </c>
      <c r="AD167" t="s">
        <v>20</v>
      </c>
      <c r="AE167">
        <v>0.32744780000000001</v>
      </c>
      <c r="AF167" t="s">
        <v>20</v>
      </c>
      <c r="AG167">
        <v>0.1796875</v>
      </c>
      <c r="AJ167" t="str">
        <f>VLOOKUP(Sheet1!W167,'알람 범위'!$D$2:$F$45,3,FALSE)</f>
        <v>21000</v>
      </c>
      <c r="AK167">
        <v>7</v>
      </c>
      <c r="AL167">
        <f t="shared" si="47"/>
        <v>21007</v>
      </c>
      <c r="AM167" t="str">
        <f t="shared" si="36"/>
        <v>CO_INSP_PC_MAIN_GRAB_END_TIMEOUT</v>
      </c>
    </row>
    <row r="168" spans="1:39" x14ac:dyDescent="0.3">
      <c r="A168">
        <f t="shared" si="46"/>
        <v>21008</v>
      </c>
      <c r="B168" t="s">
        <v>20</v>
      </c>
      <c r="C168" t="s">
        <v>895</v>
      </c>
      <c r="D168" t="s">
        <v>20</v>
      </c>
      <c r="E168" t="s">
        <v>909</v>
      </c>
      <c r="F168" t="s">
        <v>20</v>
      </c>
      <c r="G168" t="s">
        <v>923</v>
      </c>
      <c r="H168" t="s">
        <v>20</v>
      </c>
      <c r="I168" t="s">
        <v>923</v>
      </c>
      <c r="J168" t="s">
        <v>20</v>
      </c>
      <c r="K168" t="s">
        <v>923</v>
      </c>
      <c r="L168" t="s">
        <v>20</v>
      </c>
      <c r="M168" t="s">
        <v>931</v>
      </c>
      <c r="N168" t="s">
        <v>20</v>
      </c>
      <c r="O168" t="s">
        <v>935</v>
      </c>
      <c r="P168" t="s">
        <v>20</v>
      </c>
      <c r="Q168" t="s">
        <v>935</v>
      </c>
      <c r="R168" t="s">
        <v>20</v>
      </c>
      <c r="S168" t="s">
        <v>939</v>
      </c>
      <c r="T168" t="s">
        <v>20</v>
      </c>
      <c r="U168" t="s">
        <v>21</v>
      </c>
      <c r="V168" t="s">
        <v>20</v>
      </c>
      <c r="W168" t="s">
        <v>408</v>
      </c>
      <c r="X168" t="s">
        <v>20</v>
      </c>
      <c r="Y168" t="s">
        <v>19</v>
      </c>
      <c r="Z168" t="s">
        <v>20</v>
      </c>
      <c r="AA168">
        <v>0.49117169999999999</v>
      </c>
      <c r="AB168" t="s">
        <v>20</v>
      </c>
      <c r="AC168">
        <v>0.65885419999999995</v>
      </c>
      <c r="AD168" t="s">
        <v>20</v>
      </c>
      <c r="AE168">
        <v>0.32744780000000001</v>
      </c>
      <c r="AF168" t="s">
        <v>20</v>
      </c>
      <c r="AG168">
        <v>0.1796875</v>
      </c>
      <c r="AJ168" t="str">
        <f>VLOOKUP(Sheet1!W168,'알람 범위'!$D$2:$F$45,3,FALSE)</f>
        <v>21000</v>
      </c>
      <c r="AK168">
        <v>8</v>
      </c>
      <c r="AL168">
        <f t="shared" si="47"/>
        <v>21008</v>
      </c>
      <c r="AM168" t="str">
        <f t="shared" si="36"/>
        <v>CO_INSP_PC_MAIN_GRAB_END_VALIDATION</v>
      </c>
    </row>
    <row r="169" spans="1:39" x14ac:dyDescent="0.3">
      <c r="A169">
        <f t="shared" si="46"/>
        <v>21009</v>
      </c>
      <c r="B169" t="s">
        <v>20</v>
      </c>
      <c r="C169" t="s">
        <v>896</v>
      </c>
      <c r="D169" t="s">
        <v>20</v>
      </c>
      <c r="E169" t="s">
        <v>910</v>
      </c>
      <c r="F169" t="s">
        <v>20</v>
      </c>
      <c r="G169" t="s">
        <v>929</v>
      </c>
      <c r="H169" t="s">
        <v>20</v>
      </c>
      <c r="I169" t="s">
        <v>929</v>
      </c>
      <c r="J169" t="s">
        <v>20</v>
      </c>
      <c r="K169" t="s">
        <v>929</v>
      </c>
      <c r="L169" t="s">
        <v>20</v>
      </c>
      <c r="M169" t="s">
        <v>931</v>
      </c>
      <c r="N169" t="s">
        <v>20</v>
      </c>
      <c r="O169" t="s">
        <v>935</v>
      </c>
      <c r="P169" t="s">
        <v>20</v>
      </c>
      <c r="Q169" t="s">
        <v>935</v>
      </c>
      <c r="R169" t="s">
        <v>20</v>
      </c>
      <c r="S169" t="s">
        <v>939</v>
      </c>
      <c r="T169" t="s">
        <v>20</v>
      </c>
      <c r="U169" t="s">
        <v>196</v>
      </c>
      <c r="V169" t="s">
        <v>20</v>
      </c>
      <c r="W169" t="s">
        <v>299</v>
      </c>
      <c r="X169" t="s">
        <v>20</v>
      </c>
      <c r="Y169" t="s">
        <v>19</v>
      </c>
      <c r="Z169" t="s">
        <v>20</v>
      </c>
      <c r="AA169">
        <v>0.49117169999999999</v>
      </c>
      <c r="AB169" t="s">
        <v>20</v>
      </c>
      <c r="AC169">
        <v>0.65885419999999995</v>
      </c>
      <c r="AD169" t="s">
        <v>20</v>
      </c>
      <c r="AE169">
        <v>0.32744780000000001</v>
      </c>
      <c r="AF169" t="s">
        <v>20</v>
      </c>
      <c r="AG169">
        <v>0.1796875</v>
      </c>
      <c r="AJ169" t="str">
        <f>VLOOKUP(Sheet1!W169,'알람 범위'!$D$2:$F$45,3,FALSE)</f>
        <v>21000</v>
      </c>
      <c r="AK169">
        <v>9</v>
      </c>
      <c r="AL169">
        <f t="shared" si="47"/>
        <v>21009</v>
      </c>
      <c r="AM169" t="str">
        <f t="shared" si="36"/>
        <v>IN_INSP_PC_MAIN_TOTAL_RESULT_TIMEOUT</v>
      </c>
    </row>
    <row r="170" spans="1:39" x14ac:dyDescent="0.3">
      <c r="A170">
        <f t="shared" si="46"/>
        <v>21010</v>
      </c>
      <c r="B170" t="s">
        <v>20</v>
      </c>
      <c r="C170" t="s">
        <v>897</v>
      </c>
      <c r="D170" t="s">
        <v>20</v>
      </c>
      <c r="E170" t="s">
        <v>911</v>
      </c>
      <c r="F170" t="s">
        <v>20</v>
      </c>
      <c r="G170" t="s">
        <v>924</v>
      </c>
      <c r="H170" t="s">
        <v>20</v>
      </c>
      <c r="I170" t="s">
        <v>924</v>
      </c>
      <c r="J170" t="s">
        <v>20</v>
      </c>
      <c r="K170" t="s">
        <v>924</v>
      </c>
      <c r="L170" t="s">
        <v>20</v>
      </c>
      <c r="M170" t="s">
        <v>931</v>
      </c>
      <c r="N170" t="s">
        <v>20</v>
      </c>
      <c r="O170" t="s">
        <v>935</v>
      </c>
      <c r="P170" t="s">
        <v>20</v>
      </c>
      <c r="Q170" t="s">
        <v>935</v>
      </c>
      <c r="R170" t="s">
        <v>20</v>
      </c>
      <c r="S170" t="s">
        <v>939</v>
      </c>
      <c r="T170" t="s">
        <v>20</v>
      </c>
      <c r="U170" t="s">
        <v>21</v>
      </c>
      <c r="V170" t="s">
        <v>20</v>
      </c>
      <c r="W170" t="s">
        <v>299</v>
      </c>
      <c r="X170" t="s">
        <v>20</v>
      </c>
      <c r="Y170" t="s">
        <v>19</v>
      </c>
      <c r="Z170" t="s">
        <v>20</v>
      </c>
      <c r="AA170">
        <v>0.49117169999999999</v>
      </c>
      <c r="AB170" t="s">
        <v>20</v>
      </c>
      <c r="AC170">
        <v>0.65885419999999995</v>
      </c>
      <c r="AD170" t="s">
        <v>20</v>
      </c>
      <c r="AE170">
        <v>0.32744780000000001</v>
      </c>
      <c r="AF170" t="s">
        <v>20</v>
      </c>
      <c r="AG170">
        <v>0.1796875</v>
      </c>
      <c r="AJ170" t="str">
        <f>VLOOKUP(Sheet1!W170,'알람 범위'!$D$2:$F$45,3,FALSE)</f>
        <v>21000</v>
      </c>
      <c r="AK170">
        <v>10</v>
      </c>
      <c r="AL170">
        <f t="shared" ref="AL170:AL181" si="48">AJ170+AK170</f>
        <v>21010</v>
      </c>
      <c r="AM170" t="str">
        <f t="shared" si="36"/>
        <v>IN_INSP_PC_MAIN_TOTAL_RESULT_NORESPONSE</v>
      </c>
    </row>
    <row r="171" spans="1:39" x14ac:dyDescent="0.3">
      <c r="A171">
        <f>AL171</f>
        <v>21011</v>
      </c>
      <c r="B171" t="s">
        <v>20</v>
      </c>
      <c r="C171" t="s">
        <v>898</v>
      </c>
      <c r="D171" t="s">
        <v>20</v>
      </c>
      <c r="E171" t="s">
        <v>912</v>
      </c>
      <c r="F171" t="s">
        <v>20</v>
      </c>
      <c r="G171" t="s">
        <v>925</v>
      </c>
      <c r="H171" t="s">
        <v>20</v>
      </c>
      <c r="I171" t="s">
        <v>925</v>
      </c>
      <c r="J171" t="s">
        <v>20</v>
      </c>
      <c r="K171" t="s">
        <v>925</v>
      </c>
      <c r="L171" t="s">
        <v>20</v>
      </c>
      <c r="M171" t="s">
        <v>931</v>
      </c>
      <c r="N171" t="s">
        <v>20</v>
      </c>
      <c r="O171" t="s">
        <v>935</v>
      </c>
      <c r="P171" t="s">
        <v>20</v>
      </c>
      <c r="Q171" t="s">
        <v>935</v>
      </c>
      <c r="R171" t="s">
        <v>20</v>
      </c>
      <c r="S171" t="s">
        <v>939</v>
      </c>
      <c r="T171" t="s">
        <v>20</v>
      </c>
      <c r="U171" t="s">
        <v>21</v>
      </c>
      <c r="V171" t="s">
        <v>20</v>
      </c>
      <c r="W171" t="s">
        <v>407</v>
      </c>
      <c r="X171" t="s">
        <v>20</v>
      </c>
      <c r="Y171" t="s">
        <v>19</v>
      </c>
      <c r="Z171" t="s">
        <v>20</v>
      </c>
      <c r="AA171">
        <v>0.49117169999999999</v>
      </c>
      <c r="AB171" t="s">
        <v>20</v>
      </c>
      <c r="AC171">
        <v>0.65885419999999995</v>
      </c>
      <c r="AD171" t="s">
        <v>20</v>
      </c>
      <c r="AE171">
        <v>0.32744780000000001</v>
      </c>
      <c r="AF171" t="s">
        <v>20</v>
      </c>
      <c r="AG171">
        <v>0.1796875</v>
      </c>
      <c r="AJ171" t="str">
        <f>VLOOKUP(Sheet1!W171,'알람 범위'!$D$2:$F$45,3,FALSE)</f>
        <v>21000</v>
      </c>
      <c r="AK171">
        <v>11</v>
      </c>
      <c r="AL171">
        <f t="shared" si="48"/>
        <v>21011</v>
      </c>
      <c r="AM171" t="str">
        <f t="shared" si="36"/>
        <v>CO_INSP_PC_MAIN_ERROR</v>
      </c>
    </row>
    <row r="172" spans="1:39" x14ac:dyDescent="0.3">
      <c r="A172">
        <f t="shared" si="46"/>
        <v>21012</v>
      </c>
      <c r="B172" t="s">
        <v>20</v>
      </c>
      <c r="C172" t="s">
        <v>899</v>
      </c>
      <c r="D172" t="s">
        <v>20</v>
      </c>
      <c r="E172" t="s">
        <v>913</v>
      </c>
      <c r="F172" t="s">
        <v>20</v>
      </c>
      <c r="G172" t="s">
        <v>926</v>
      </c>
      <c r="H172" t="s">
        <v>20</v>
      </c>
      <c r="I172" t="s">
        <v>926</v>
      </c>
      <c r="J172" t="s">
        <v>20</v>
      </c>
      <c r="K172" t="s">
        <v>926</v>
      </c>
      <c r="L172" t="s">
        <v>20</v>
      </c>
      <c r="M172" t="s">
        <v>932</v>
      </c>
      <c r="N172" t="s">
        <v>20</v>
      </c>
      <c r="O172" t="s">
        <v>936</v>
      </c>
      <c r="P172" t="s">
        <v>20</v>
      </c>
      <c r="Q172" t="s">
        <v>936</v>
      </c>
      <c r="R172" t="s">
        <v>20</v>
      </c>
      <c r="S172" t="s">
        <v>940</v>
      </c>
      <c r="T172" t="s">
        <v>20</v>
      </c>
      <c r="U172" t="s">
        <v>21</v>
      </c>
      <c r="V172" t="s">
        <v>20</v>
      </c>
      <c r="W172" t="s">
        <v>408</v>
      </c>
      <c r="X172" t="s">
        <v>20</v>
      </c>
      <c r="Y172" t="s">
        <v>19</v>
      </c>
      <c r="Z172" t="s">
        <v>20</v>
      </c>
      <c r="AA172">
        <v>0.49117169999999999</v>
      </c>
      <c r="AB172" t="s">
        <v>20</v>
      </c>
      <c r="AC172">
        <v>0.65885419999999995</v>
      </c>
      <c r="AD172" t="s">
        <v>20</v>
      </c>
      <c r="AE172">
        <v>0.32744780000000001</v>
      </c>
      <c r="AF172" t="s">
        <v>20</v>
      </c>
      <c r="AG172">
        <v>0.1796875</v>
      </c>
      <c r="AJ172" t="str">
        <f>VLOOKUP(Sheet1!W172,'알람 범위'!$D$2:$F$45,3,FALSE)</f>
        <v>21000</v>
      </c>
      <c r="AK172">
        <v>12</v>
      </c>
      <c r="AL172">
        <f t="shared" si="48"/>
        <v>21012</v>
      </c>
      <c r="AM172" t="str">
        <f t="shared" si="36"/>
        <v>CO_INSP_PC_MAIN_ERROR_SAME_POSITION_DEFECT</v>
      </c>
    </row>
    <row r="173" spans="1:39" x14ac:dyDescent="0.3">
      <c r="A173">
        <f>AL173</f>
        <v>21013</v>
      </c>
      <c r="B173" t="s">
        <v>20</v>
      </c>
      <c r="C173" t="s">
        <v>900</v>
      </c>
      <c r="D173" t="s">
        <v>20</v>
      </c>
      <c r="E173" t="s">
        <v>914</v>
      </c>
      <c r="F173" t="s">
        <v>20</v>
      </c>
      <c r="G173" t="s">
        <v>927</v>
      </c>
      <c r="H173" t="s">
        <v>20</v>
      </c>
      <c r="I173" t="s">
        <v>927</v>
      </c>
      <c r="J173" t="s">
        <v>20</v>
      </c>
      <c r="K173" t="s">
        <v>927</v>
      </c>
      <c r="L173" t="s">
        <v>20</v>
      </c>
      <c r="M173" t="s">
        <v>933</v>
      </c>
      <c r="N173" t="s">
        <v>20</v>
      </c>
      <c r="O173" t="s">
        <v>937</v>
      </c>
      <c r="P173" t="s">
        <v>20</v>
      </c>
      <c r="Q173" t="s">
        <v>937</v>
      </c>
      <c r="R173" t="s">
        <v>20</v>
      </c>
      <c r="S173" t="s">
        <v>941</v>
      </c>
      <c r="T173" t="s">
        <v>20</v>
      </c>
      <c r="U173" t="s">
        <v>21</v>
      </c>
      <c r="V173" t="s">
        <v>20</v>
      </c>
      <c r="W173" t="s">
        <v>299</v>
      </c>
      <c r="X173" t="s">
        <v>20</v>
      </c>
      <c r="Y173" t="s">
        <v>19</v>
      </c>
      <c r="Z173" t="s">
        <v>20</v>
      </c>
      <c r="AA173">
        <v>0.49117169999999999</v>
      </c>
      <c r="AB173" t="s">
        <v>20</v>
      </c>
      <c r="AC173">
        <v>0.65885419999999995</v>
      </c>
      <c r="AD173" t="s">
        <v>20</v>
      </c>
      <c r="AE173">
        <v>0.32744780000000001</v>
      </c>
      <c r="AF173" t="s">
        <v>20</v>
      </c>
      <c r="AG173">
        <v>0.1796875</v>
      </c>
      <c r="AJ173" t="str">
        <f>VLOOKUP(Sheet1!W173,'알람 범위'!$D$2:$F$45,3,FALSE)</f>
        <v>21000</v>
      </c>
      <c r="AK173">
        <v>13</v>
      </c>
      <c r="AL173">
        <f t="shared" si="48"/>
        <v>21013</v>
      </c>
      <c r="AM173" t="str">
        <f t="shared" si="36"/>
        <v>CO_INSP_PC_MAIN_ERROR_CAMERA</v>
      </c>
    </row>
    <row r="174" spans="1:39" x14ac:dyDescent="0.3">
      <c r="A174">
        <f>AL174</f>
        <v>21014</v>
      </c>
      <c r="B174" t="s">
        <v>20</v>
      </c>
      <c r="C174" t="s">
        <v>901</v>
      </c>
      <c r="D174" t="s">
        <v>20</v>
      </c>
      <c r="E174" t="s">
        <v>915</v>
      </c>
      <c r="F174" t="s">
        <v>20</v>
      </c>
      <c r="G174" t="s">
        <v>928</v>
      </c>
      <c r="H174" t="s">
        <v>20</v>
      </c>
      <c r="I174" t="s">
        <v>928</v>
      </c>
      <c r="J174" t="s">
        <v>20</v>
      </c>
      <c r="K174" t="s">
        <v>928</v>
      </c>
      <c r="L174" t="s">
        <v>20</v>
      </c>
      <c r="M174" t="s">
        <v>934</v>
      </c>
      <c r="N174" t="s">
        <v>20</v>
      </c>
      <c r="O174" t="s">
        <v>938</v>
      </c>
      <c r="P174" t="s">
        <v>20</v>
      </c>
      <c r="Q174" t="s">
        <v>938</v>
      </c>
      <c r="R174" t="s">
        <v>20</v>
      </c>
      <c r="S174" t="s">
        <v>942</v>
      </c>
      <c r="T174" t="s">
        <v>20</v>
      </c>
      <c r="U174" t="s">
        <v>21</v>
      </c>
      <c r="V174" t="s">
        <v>20</v>
      </c>
      <c r="W174" t="s">
        <v>299</v>
      </c>
      <c r="X174" t="s">
        <v>20</v>
      </c>
      <c r="Y174" t="s">
        <v>19</v>
      </c>
      <c r="Z174" t="s">
        <v>20</v>
      </c>
      <c r="AA174">
        <v>0.49117169999999999</v>
      </c>
      <c r="AB174" t="s">
        <v>20</v>
      </c>
      <c r="AC174">
        <v>0.65885419999999995</v>
      </c>
      <c r="AD174" t="s">
        <v>20</v>
      </c>
      <c r="AE174">
        <v>0.32744780000000001</v>
      </c>
      <c r="AF174" t="s">
        <v>20</v>
      </c>
      <c r="AG174">
        <v>0.1796875</v>
      </c>
      <c r="AJ174" t="str">
        <f>VLOOKUP(Sheet1!W174,'알람 범위'!$D$2:$F$45,3,FALSE)</f>
        <v>21000</v>
      </c>
      <c r="AK174">
        <v>14</v>
      </c>
      <c r="AL174">
        <f t="shared" si="48"/>
        <v>21014</v>
      </c>
      <c r="AM174" t="str">
        <f t="shared" si="36"/>
        <v>CO_INSP_PC_MAIN_ERROR_LIGHT_CONTROLLER</v>
      </c>
    </row>
    <row r="175" spans="1:39" x14ac:dyDescent="0.3">
      <c r="A175">
        <f t="shared" ref="A175:A176" si="49">AL175</f>
        <v>21015</v>
      </c>
      <c r="B175" t="s">
        <v>20</v>
      </c>
      <c r="C175" t="s">
        <v>1045</v>
      </c>
      <c r="D175" t="s">
        <v>20</v>
      </c>
      <c r="E175" t="s">
        <v>1043</v>
      </c>
      <c r="F175" t="s">
        <v>20</v>
      </c>
      <c r="G175" t="s">
        <v>1047</v>
      </c>
      <c r="H175" t="s">
        <v>20</v>
      </c>
      <c r="I175" t="s">
        <v>1047</v>
      </c>
      <c r="J175" t="s">
        <v>20</v>
      </c>
      <c r="K175" t="s">
        <v>1047</v>
      </c>
      <c r="L175" t="s">
        <v>20</v>
      </c>
      <c r="M175" t="s">
        <v>931</v>
      </c>
      <c r="N175" t="s">
        <v>20</v>
      </c>
      <c r="O175" t="s">
        <v>935</v>
      </c>
      <c r="P175" t="s">
        <v>20</v>
      </c>
      <c r="Q175" t="s">
        <v>935</v>
      </c>
      <c r="R175" t="s">
        <v>20</v>
      </c>
      <c r="S175" t="s">
        <v>939</v>
      </c>
      <c r="T175" t="s">
        <v>20</v>
      </c>
      <c r="U175" t="s">
        <v>21</v>
      </c>
      <c r="V175" t="s">
        <v>20</v>
      </c>
      <c r="W175" t="s">
        <v>299</v>
      </c>
      <c r="X175" t="s">
        <v>20</v>
      </c>
      <c r="Y175" t="s">
        <v>19</v>
      </c>
      <c r="Z175" t="s">
        <v>20</v>
      </c>
      <c r="AA175">
        <v>0.49117169999999999</v>
      </c>
      <c r="AB175" t="s">
        <v>20</v>
      </c>
      <c r="AC175">
        <v>0.65885419999999995</v>
      </c>
      <c r="AD175" t="s">
        <v>20</v>
      </c>
      <c r="AE175">
        <v>0.32744780000000001</v>
      </c>
      <c r="AF175" t="s">
        <v>20</v>
      </c>
      <c r="AG175">
        <v>0.1796875</v>
      </c>
      <c r="AJ175" t="str">
        <f>VLOOKUP(Sheet1!W175,'알람 범위'!$D$2:$F$45,3,FALSE)</f>
        <v>21000</v>
      </c>
      <c r="AK175">
        <v>15</v>
      </c>
      <c r="AL175">
        <f t="shared" ref="AL175:AL176" si="50">AJ175+AK175</f>
        <v>21015</v>
      </c>
      <c r="AM175" t="str">
        <f t="shared" si="36"/>
        <v>CO_INSP_PC_MAIN_CELL_DATA_SYNC_SEND</v>
      </c>
    </row>
    <row r="176" spans="1:39" x14ac:dyDescent="0.3">
      <c r="A176">
        <f t="shared" si="49"/>
        <v>21016</v>
      </c>
      <c r="B176" t="s">
        <v>20</v>
      </c>
      <c r="C176" t="s">
        <v>1046</v>
      </c>
      <c r="D176" t="s">
        <v>20</v>
      </c>
      <c r="E176" t="s">
        <v>1044</v>
      </c>
      <c r="F176" t="s">
        <v>20</v>
      </c>
      <c r="G176" t="s">
        <v>1048</v>
      </c>
      <c r="H176" t="s">
        <v>20</v>
      </c>
      <c r="I176" t="s">
        <v>1048</v>
      </c>
      <c r="J176" t="s">
        <v>20</v>
      </c>
      <c r="K176" t="s">
        <v>1048</v>
      </c>
      <c r="L176" t="s">
        <v>20</v>
      </c>
      <c r="M176" t="s">
        <v>931</v>
      </c>
      <c r="N176" t="s">
        <v>20</v>
      </c>
      <c r="O176" t="s">
        <v>935</v>
      </c>
      <c r="P176" t="s">
        <v>20</v>
      </c>
      <c r="Q176" t="s">
        <v>935</v>
      </c>
      <c r="R176" t="s">
        <v>20</v>
      </c>
      <c r="S176" t="s">
        <v>939</v>
      </c>
      <c r="T176" t="s">
        <v>20</v>
      </c>
      <c r="U176" t="s">
        <v>21</v>
      </c>
      <c r="V176" t="s">
        <v>20</v>
      </c>
      <c r="W176" t="s">
        <v>299</v>
      </c>
      <c r="X176" t="s">
        <v>20</v>
      </c>
      <c r="Y176" t="s">
        <v>19</v>
      </c>
      <c r="Z176" t="s">
        <v>20</v>
      </c>
      <c r="AA176">
        <v>0.49117169999999999</v>
      </c>
      <c r="AB176" t="s">
        <v>20</v>
      </c>
      <c r="AC176">
        <v>0.65885419999999995</v>
      </c>
      <c r="AD176" t="s">
        <v>20</v>
      </c>
      <c r="AE176">
        <v>0.32744780000000001</v>
      </c>
      <c r="AF176" t="s">
        <v>20</v>
      </c>
      <c r="AG176">
        <v>0.1796875</v>
      </c>
      <c r="AJ176" t="str">
        <f>VLOOKUP(Sheet1!W176,'알람 범위'!$D$2:$F$45,3,FALSE)</f>
        <v>21000</v>
      </c>
      <c r="AK176">
        <v>16</v>
      </c>
      <c r="AL176">
        <f t="shared" si="50"/>
        <v>21016</v>
      </c>
      <c r="AM176" t="str">
        <f t="shared" si="36"/>
        <v>CO_INSP_PC_MAIN_CELL_DATA_SYNC_VALIDATION</v>
      </c>
    </row>
    <row r="177" spans="1:39" x14ac:dyDescent="0.3">
      <c r="A177">
        <f t="shared" ref="A177:A180" si="51">AL177</f>
        <v>21017</v>
      </c>
      <c r="B177" t="s">
        <v>20</v>
      </c>
      <c r="C177" t="s">
        <v>1031</v>
      </c>
      <c r="D177" t="s">
        <v>20</v>
      </c>
      <c r="E177" t="s">
        <v>1035</v>
      </c>
      <c r="F177" t="s">
        <v>20</v>
      </c>
      <c r="G177" t="s">
        <v>1038</v>
      </c>
      <c r="H177" t="s">
        <v>20</v>
      </c>
      <c r="I177" t="s">
        <v>1038</v>
      </c>
      <c r="J177" t="s">
        <v>20</v>
      </c>
      <c r="K177" t="s">
        <v>1038</v>
      </c>
      <c r="L177" t="s">
        <v>20</v>
      </c>
      <c r="M177" t="s">
        <v>931</v>
      </c>
      <c r="N177" t="s">
        <v>20</v>
      </c>
      <c r="O177" t="s">
        <v>935</v>
      </c>
      <c r="P177" t="s">
        <v>20</v>
      </c>
      <c r="Q177" t="s">
        <v>935</v>
      </c>
      <c r="R177" t="s">
        <v>20</v>
      </c>
      <c r="S177" t="s">
        <v>939</v>
      </c>
      <c r="T177" t="s">
        <v>20</v>
      </c>
      <c r="U177" t="s">
        <v>21</v>
      </c>
      <c r="V177" t="s">
        <v>20</v>
      </c>
      <c r="W177" t="s">
        <v>299</v>
      </c>
      <c r="X177" t="s">
        <v>20</v>
      </c>
      <c r="Y177" t="s">
        <v>19</v>
      </c>
      <c r="Z177" t="s">
        <v>20</v>
      </c>
      <c r="AA177">
        <v>0.49117169999999999</v>
      </c>
      <c r="AB177" t="s">
        <v>20</v>
      </c>
      <c r="AC177">
        <v>0.65885419999999995</v>
      </c>
      <c r="AD177" t="s">
        <v>20</v>
      </c>
      <c r="AE177">
        <v>0.32744780000000001</v>
      </c>
      <c r="AF177" t="s">
        <v>20</v>
      </c>
      <c r="AG177">
        <v>0.1796875</v>
      </c>
      <c r="AJ177" t="str">
        <f>VLOOKUP(Sheet1!W177,'알람 범위'!$D$2:$F$45,3,FALSE)</f>
        <v>21000</v>
      </c>
      <c r="AK177">
        <v>17</v>
      </c>
      <c r="AL177">
        <f t="shared" si="48"/>
        <v>21017</v>
      </c>
      <c r="AM177" t="str">
        <f t="shared" si="36"/>
        <v>CO_INSP_PC_MAIN_AMO_GRAB_START_SEND</v>
      </c>
    </row>
    <row r="178" spans="1:39" x14ac:dyDescent="0.3">
      <c r="A178">
        <f t="shared" si="51"/>
        <v>21018</v>
      </c>
      <c r="B178" t="s">
        <v>20</v>
      </c>
      <c r="C178" t="s">
        <v>1032</v>
      </c>
      <c r="D178" t="s">
        <v>20</v>
      </c>
      <c r="E178" t="s">
        <v>1036</v>
      </c>
      <c r="F178" t="s">
        <v>20</v>
      </c>
      <c r="G178" t="s">
        <v>1039</v>
      </c>
      <c r="H178" t="s">
        <v>20</v>
      </c>
      <c r="I178" t="s">
        <v>1039</v>
      </c>
      <c r="J178" t="s">
        <v>20</v>
      </c>
      <c r="K178" t="s">
        <v>1039</v>
      </c>
      <c r="L178" t="s">
        <v>20</v>
      </c>
      <c r="M178" t="s">
        <v>931</v>
      </c>
      <c r="N178" t="s">
        <v>20</v>
      </c>
      <c r="O178" t="s">
        <v>935</v>
      </c>
      <c r="P178" t="s">
        <v>20</v>
      </c>
      <c r="Q178" t="s">
        <v>935</v>
      </c>
      <c r="R178" t="s">
        <v>20</v>
      </c>
      <c r="S178" t="s">
        <v>939</v>
      </c>
      <c r="T178" t="s">
        <v>20</v>
      </c>
      <c r="U178" t="s">
        <v>21</v>
      </c>
      <c r="V178" t="s">
        <v>20</v>
      </c>
      <c r="W178" t="s">
        <v>299</v>
      </c>
      <c r="X178" t="s">
        <v>20</v>
      </c>
      <c r="Y178" t="s">
        <v>19</v>
      </c>
      <c r="Z178" t="s">
        <v>20</v>
      </c>
      <c r="AA178">
        <v>0.49117169999999999</v>
      </c>
      <c r="AB178" t="s">
        <v>20</v>
      </c>
      <c r="AC178">
        <v>0.65885419999999995</v>
      </c>
      <c r="AD178" t="s">
        <v>20</v>
      </c>
      <c r="AE178">
        <v>0.32744780000000001</v>
      </c>
      <c r="AF178" t="s">
        <v>20</v>
      </c>
      <c r="AG178">
        <v>0.1796875</v>
      </c>
      <c r="AJ178" t="str">
        <f>VLOOKUP(Sheet1!W178,'알람 범위'!$D$2:$F$45,3,FALSE)</f>
        <v>21000</v>
      </c>
      <c r="AK178">
        <v>18</v>
      </c>
      <c r="AL178">
        <f t="shared" si="48"/>
        <v>21018</v>
      </c>
      <c r="AM178" t="str">
        <f t="shared" si="36"/>
        <v>CO_INSP_PC_MAIN_AMO_GRAB_START_VALIDATION</v>
      </c>
    </row>
    <row r="179" spans="1:39" x14ac:dyDescent="0.3">
      <c r="A179">
        <f t="shared" si="51"/>
        <v>21019</v>
      </c>
      <c r="B179" t="s">
        <v>20</v>
      </c>
      <c r="C179" t="s">
        <v>1033</v>
      </c>
      <c r="D179" t="s">
        <v>20</v>
      </c>
      <c r="E179" t="s">
        <v>1041</v>
      </c>
      <c r="F179" t="s">
        <v>20</v>
      </c>
      <c r="G179" t="s">
        <v>1042</v>
      </c>
      <c r="H179" t="s">
        <v>20</v>
      </c>
      <c r="I179" t="s">
        <v>1042</v>
      </c>
      <c r="J179" t="s">
        <v>20</v>
      </c>
      <c r="K179" t="s">
        <v>1042</v>
      </c>
      <c r="L179" t="s">
        <v>20</v>
      </c>
      <c r="M179" t="s">
        <v>931</v>
      </c>
      <c r="N179" t="s">
        <v>20</v>
      </c>
      <c r="O179" t="s">
        <v>935</v>
      </c>
      <c r="P179" t="s">
        <v>20</v>
      </c>
      <c r="Q179" t="s">
        <v>935</v>
      </c>
      <c r="R179" t="s">
        <v>20</v>
      </c>
      <c r="S179" t="s">
        <v>939</v>
      </c>
      <c r="T179" t="s">
        <v>20</v>
      </c>
      <c r="U179" t="s">
        <v>21</v>
      </c>
      <c r="V179" t="s">
        <v>20</v>
      </c>
      <c r="W179" t="s">
        <v>299</v>
      </c>
      <c r="X179" t="s">
        <v>20</v>
      </c>
      <c r="Y179" t="s">
        <v>19</v>
      </c>
      <c r="Z179" t="s">
        <v>20</v>
      </c>
      <c r="AA179">
        <v>0.49117169999999999</v>
      </c>
      <c r="AB179" t="s">
        <v>20</v>
      </c>
      <c r="AC179">
        <v>0.65885419999999995</v>
      </c>
      <c r="AD179" t="s">
        <v>20</v>
      </c>
      <c r="AE179">
        <v>0.32744780000000001</v>
      </c>
      <c r="AF179" t="s">
        <v>20</v>
      </c>
      <c r="AG179">
        <v>0.1796875</v>
      </c>
      <c r="AJ179" t="str">
        <f>VLOOKUP(Sheet1!W179,'알람 범위'!$D$2:$F$45,3,FALSE)</f>
        <v>21000</v>
      </c>
      <c r="AK179">
        <v>19</v>
      </c>
      <c r="AL179">
        <f t="shared" si="48"/>
        <v>21019</v>
      </c>
      <c r="AM179" t="str">
        <f t="shared" si="36"/>
        <v>CO_INSP_PC_MAIN_AMO_GRAB_END_SEND</v>
      </c>
    </row>
    <row r="180" spans="1:39" x14ac:dyDescent="0.3">
      <c r="A180">
        <f t="shared" si="51"/>
        <v>21020</v>
      </c>
      <c r="B180" t="s">
        <v>20</v>
      </c>
      <c r="C180" t="s">
        <v>1034</v>
      </c>
      <c r="D180" t="s">
        <v>20</v>
      </c>
      <c r="E180" t="s">
        <v>1037</v>
      </c>
      <c r="F180" t="s">
        <v>20</v>
      </c>
      <c r="G180" t="s">
        <v>1040</v>
      </c>
      <c r="H180" t="s">
        <v>20</v>
      </c>
      <c r="I180" t="s">
        <v>1040</v>
      </c>
      <c r="J180" t="s">
        <v>20</v>
      </c>
      <c r="K180" t="s">
        <v>1040</v>
      </c>
      <c r="L180" t="s">
        <v>20</v>
      </c>
      <c r="M180" t="s">
        <v>931</v>
      </c>
      <c r="N180" t="s">
        <v>20</v>
      </c>
      <c r="O180" t="s">
        <v>935</v>
      </c>
      <c r="P180" t="s">
        <v>20</v>
      </c>
      <c r="Q180" t="s">
        <v>935</v>
      </c>
      <c r="R180" t="s">
        <v>20</v>
      </c>
      <c r="S180" t="s">
        <v>939</v>
      </c>
      <c r="T180" t="s">
        <v>20</v>
      </c>
      <c r="U180" t="s">
        <v>21</v>
      </c>
      <c r="V180" t="s">
        <v>20</v>
      </c>
      <c r="W180" t="s">
        <v>299</v>
      </c>
      <c r="X180" t="s">
        <v>20</v>
      </c>
      <c r="Y180" t="s">
        <v>19</v>
      </c>
      <c r="Z180" t="s">
        <v>20</v>
      </c>
      <c r="AA180">
        <v>0.49117169999999999</v>
      </c>
      <c r="AB180" t="s">
        <v>20</v>
      </c>
      <c r="AC180">
        <v>0.65885419999999995</v>
      </c>
      <c r="AD180" t="s">
        <v>20</v>
      </c>
      <c r="AE180">
        <v>0.32744780000000001</v>
      </c>
      <c r="AF180" t="s">
        <v>20</v>
      </c>
      <c r="AG180">
        <v>0.1796875</v>
      </c>
      <c r="AJ180" t="str">
        <f>VLOOKUP(Sheet1!W180,'알람 범위'!$D$2:$F$45,3,FALSE)</f>
        <v>21000</v>
      </c>
      <c r="AK180">
        <v>20</v>
      </c>
      <c r="AL180">
        <f t="shared" si="48"/>
        <v>21020</v>
      </c>
      <c r="AM180" t="str">
        <f t="shared" si="36"/>
        <v>CO_INSP_PC_MAIN_AMO_GRAB_END_VALIDATION</v>
      </c>
    </row>
    <row r="181" spans="1:39" x14ac:dyDescent="0.3">
      <c r="A181">
        <f t="shared" ref="A181:A209" si="52">AL181</f>
        <v>29500</v>
      </c>
      <c r="B181" t="s">
        <v>20</v>
      </c>
      <c r="C181" t="s">
        <v>110</v>
      </c>
      <c r="D181" t="s">
        <v>20</v>
      </c>
      <c r="E181" t="s">
        <v>113</v>
      </c>
      <c r="F181" t="s">
        <v>20</v>
      </c>
      <c r="G181" t="s">
        <v>122</v>
      </c>
      <c r="H181" t="s">
        <v>20</v>
      </c>
      <c r="I181" t="s">
        <v>122</v>
      </c>
      <c r="J181" t="s">
        <v>20</v>
      </c>
      <c r="K181" s="19" t="s">
        <v>122</v>
      </c>
      <c r="L181" t="s">
        <v>20</v>
      </c>
      <c r="M181" t="s">
        <v>122</v>
      </c>
      <c r="N181" t="s">
        <v>20</v>
      </c>
      <c r="O181" t="s">
        <v>122</v>
      </c>
      <c r="P181" t="s">
        <v>20</v>
      </c>
      <c r="Q181" t="s">
        <v>122</v>
      </c>
      <c r="R181" t="s">
        <v>20</v>
      </c>
      <c r="S181" t="s">
        <v>122</v>
      </c>
      <c r="T181" t="s">
        <v>20</v>
      </c>
      <c r="U181" t="s">
        <v>22</v>
      </c>
      <c r="V181" t="s">
        <v>20</v>
      </c>
      <c r="W181" t="s">
        <v>140</v>
      </c>
      <c r="X181" t="s">
        <v>20</v>
      </c>
      <c r="Y181" t="s">
        <v>19</v>
      </c>
      <c r="Z181" t="s">
        <v>20</v>
      </c>
      <c r="AA181">
        <v>0</v>
      </c>
      <c r="AB181" t="s">
        <v>20</v>
      </c>
      <c r="AC181">
        <v>0</v>
      </c>
      <c r="AD181" t="s">
        <v>20</v>
      </c>
      <c r="AE181">
        <v>0</v>
      </c>
      <c r="AF181" t="s">
        <v>20</v>
      </c>
      <c r="AG181">
        <v>0</v>
      </c>
      <c r="AJ181" t="str">
        <f>VLOOKUP(Sheet1!W181,'알람 범위'!$D$2:$F$45,3,FALSE)</f>
        <v>29500</v>
      </c>
      <c r="AK181">
        <v>0</v>
      </c>
      <c r="AL181">
        <f t="shared" si="48"/>
        <v>29500</v>
      </c>
      <c r="AM181" t="str">
        <f t="shared" si="36"/>
        <v>VA_TRANSFER_CIM_P1_TRACKING_FAILED</v>
      </c>
    </row>
    <row r="182" spans="1:39" x14ac:dyDescent="0.3">
      <c r="A182">
        <f t="shared" si="52"/>
        <v>29501</v>
      </c>
      <c r="B182" t="s">
        <v>20</v>
      </c>
      <c r="C182" t="s">
        <v>111</v>
      </c>
      <c r="D182" t="s">
        <v>20</v>
      </c>
      <c r="E182" t="s">
        <v>114</v>
      </c>
      <c r="F182" t="s">
        <v>20</v>
      </c>
      <c r="G182" t="s">
        <v>123</v>
      </c>
      <c r="H182" t="s">
        <v>20</v>
      </c>
      <c r="I182" t="s">
        <v>123</v>
      </c>
      <c r="J182" t="s">
        <v>20</v>
      </c>
      <c r="K182" s="19" t="s">
        <v>123</v>
      </c>
      <c r="L182" t="s">
        <v>20</v>
      </c>
      <c r="M182" t="s">
        <v>123</v>
      </c>
      <c r="N182" t="s">
        <v>20</v>
      </c>
      <c r="O182" t="s">
        <v>123</v>
      </c>
      <c r="P182" t="s">
        <v>20</v>
      </c>
      <c r="Q182" t="s">
        <v>123</v>
      </c>
      <c r="R182" t="s">
        <v>20</v>
      </c>
      <c r="S182" t="s">
        <v>288</v>
      </c>
      <c r="T182" t="s">
        <v>20</v>
      </c>
      <c r="U182" t="s">
        <v>22</v>
      </c>
      <c r="V182" t="s">
        <v>20</v>
      </c>
      <c r="W182" t="s">
        <v>140</v>
      </c>
      <c r="X182" t="s">
        <v>20</v>
      </c>
      <c r="Y182" t="s">
        <v>19</v>
      </c>
      <c r="Z182" t="s">
        <v>20</v>
      </c>
      <c r="AA182">
        <v>0</v>
      </c>
      <c r="AB182" t="s">
        <v>20</v>
      </c>
      <c r="AC182">
        <v>0</v>
      </c>
      <c r="AD182" t="s">
        <v>20</v>
      </c>
      <c r="AE182">
        <v>0</v>
      </c>
      <c r="AF182" t="s">
        <v>20</v>
      </c>
      <c r="AG182">
        <v>0</v>
      </c>
      <c r="AJ182" t="str">
        <f>VLOOKUP(Sheet1!W182,'알람 범위'!$D$2:$F$45,3,FALSE)</f>
        <v>29500</v>
      </c>
      <c r="AK182">
        <v>1</v>
      </c>
      <c r="AL182">
        <f t="shared" ref="AL182:AL209" si="53">AJ182+AK182</f>
        <v>29501</v>
      </c>
      <c r="AM182" t="str">
        <f t="shared" si="36"/>
        <v>VA_TRANSFER_CIM_P1_TRACKING_TIMEOUT</v>
      </c>
    </row>
    <row r="183" spans="1:39" x14ac:dyDescent="0.3">
      <c r="A183">
        <f t="shared" si="52"/>
        <v>29502</v>
      </c>
      <c r="B183" t="s">
        <v>20</v>
      </c>
      <c r="C183" t="s">
        <v>112</v>
      </c>
      <c r="D183" t="s">
        <v>20</v>
      </c>
      <c r="E183" t="s">
        <v>115</v>
      </c>
      <c r="F183" t="s">
        <v>20</v>
      </c>
      <c r="G183" t="s">
        <v>124</v>
      </c>
      <c r="H183" t="s">
        <v>20</v>
      </c>
      <c r="I183" t="s">
        <v>124</v>
      </c>
      <c r="J183" t="s">
        <v>20</v>
      </c>
      <c r="K183" s="19" t="s">
        <v>124</v>
      </c>
      <c r="L183" t="s">
        <v>20</v>
      </c>
      <c r="M183" t="s">
        <v>124</v>
      </c>
      <c r="N183" t="s">
        <v>20</v>
      </c>
      <c r="O183" t="s">
        <v>124</v>
      </c>
      <c r="P183" t="s">
        <v>20</v>
      </c>
      <c r="Q183" t="s">
        <v>124</v>
      </c>
      <c r="R183" t="s">
        <v>20</v>
      </c>
      <c r="S183" t="s">
        <v>124</v>
      </c>
      <c r="T183" t="s">
        <v>20</v>
      </c>
      <c r="U183" t="s">
        <v>22</v>
      </c>
      <c r="V183" t="s">
        <v>20</v>
      </c>
      <c r="W183" t="s">
        <v>140</v>
      </c>
      <c r="X183" t="s">
        <v>20</v>
      </c>
      <c r="Y183" t="s">
        <v>19</v>
      </c>
      <c r="Z183" t="s">
        <v>20</v>
      </c>
      <c r="AA183">
        <v>0</v>
      </c>
      <c r="AB183" t="s">
        <v>20</v>
      </c>
      <c r="AC183">
        <v>0</v>
      </c>
      <c r="AD183" t="s">
        <v>20</v>
      </c>
      <c r="AE183">
        <v>0</v>
      </c>
      <c r="AF183" t="s">
        <v>20</v>
      </c>
      <c r="AG183">
        <v>0</v>
      </c>
      <c r="AJ183" t="str">
        <f>VLOOKUP(Sheet1!W183,'알람 범위'!$D$2:$F$45,3,FALSE)</f>
        <v>29500</v>
      </c>
      <c r="AK183">
        <v>2</v>
      </c>
      <c r="AL183">
        <f t="shared" si="53"/>
        <v>29502</v>
      </c>
      <c r="AM183" t="str">
        <f t="shared" si="36"/>
        <v>VA_TRANSFER_CIM_P1_TRACKING_MISSMATCH</v>
      </c>
    </row>
    <row r="184" spans="1:39" x14ac:dyDescent="0.3">
      <c r="A184">
        <f t="shared" si="52"/>
        <v>29510</v>
      </c>
      <c r="B184" t="s">
        <v>20</v>
      </c>
      <c r="C184" t="s">
        <v>125</v>
      </c>
      <c r="D184" t="s">
        <v>20</v>
      </c>
      <c r="E184" t="s">
        <v>116</v>
      </c>
      <c r="F184" t="s">
        <v>20</v>
      </c>
      <c r="G184" t="s">
        <v>119</v>
      </c>
      <c r="H184" t="s">
        <v>20</v>
      </c>
      <c r="I184" t="s">
        <v>119</v>
      </c>
      <c r="J184" t="s">
        <v>20</v>
      </c>
      <c r="K184" s="19" t="s">
        <v>119</v>
      </c>
      <c r="L184" t="s">
        <v>20</v>
      </c>
      <c r="M184" t="s">
        <v>119</v>
      </c>
      <c r="N184" t="s">
        <v>20</v>
      </c>
      <c r="O184" t="s">
        <v>119</v>
      </c>
      <c r="P184" t="s">
        <v>20</v>
      </c>
      <c r="Q184" t="s">
        <v>119</v>
      </c>
      <c r="R184" t="s">
        <v>20</v>
      </c>
      <c r="S184" t="s">
        <v>119</v>
      </c>
      <c r="T184" t="s">
        <v>20</v>
      </c>
      <c r="U184" t="s">
        <v>22</v>
      </c>
      <c r="V184" t="s">
        <v>20</v>
      </c>
      <c r="W184" t="s">
        <v>140</v>
      </c>
      <c r="X184" t="s">
        <v>20</v>
      </c>
      <c r="Y184" t="s">
        <v>19</v>
      </c>
      <c r="Z184" t="s">
        <v>20</v>
      </c>
      <c r="AA184">
        <v>0</v>
      </c>
      <c r="AB184" t="s">
        <v>20</v>
      </c>
      <c r="AC184">
        <v>0</v>
      </c>
      <c r="AD184" t="s">
        <v>20</v>
      </c>
      <c r="AE184">
        <v>0</v>
      </c>
      <c r="AF184" t="s">
        <v>20</v>
      </c>
      <c r="AG184">
        <v>0</v>
      </c>
      <c r="AJ184" t="str">
        <f>VLOOKUP(Sheet1!W184,'알람 범위'!$D$2:$F$45,3,FALSE)</f>
        <v>29500</v>
      </c>
      <c r="AK184">
        <v>10</v>
      </c>
      <c r="AL184">
        <f t="shared" si="53"/>
        <v>29510</v>
      </c>
      <c r="AM184" t="str">
        <f t="shared" si="36"/>
        <v>VA_TRANSFER_CIM_P1_CELL_INFORMATION_DOWNLOAD_FAILED</v>
      </c>
    </row>
    <row r="185" spans="1:39" x14ac:dyDescent="0.3">
      <c r="A185">
        <f t="shared" si="52"/>
        <v>29511</v>
      </c>
      <c r="B185" t="s">
        <v>20</v>
      </c>
      <c r="C185" t="s">
        <v>126</v>
      </c>
      <c r="D185" t="s">
        <v>20</v>
      </c>
      <c r="E185" t="s">
        <v>117</v>
      </c>
      <c r="F185" t="s">
        <v>20</v>
      </c>
      <c r="G185" t="s">
        <v>120</v>
      </c>
      <c r="H185" t="s">
        <v>20</v>
      </c>
      <c r="I185" t="s">
        <v>120</v>
      </c>
      <c r="J185" t="s">
        <v>20</v>
      </c>
      <c r="K185" s="19" t="s">
        <v>120</v>
      </c>
      <c r="L185" t="s">
        <v>20</v>
      </c>
      <c r="M185" t="s">
        <v>120</v>
      </c>
      <c r="N185" t="s">
        <v>20</v>
      </c>
      <c r="O185" t="s">
        <v>120</v>
      </c>
      <c r="P185" t="s">
        <v>20</v>
      </c>
      <c r="Q185" t="s">
        <v>120</v>
      </c>
      <c r="R185" t="s">
        <v>20</v>
      </c>
      <c r="S185" t="s">
        <v>120</v>
      </c>
      <c r="T185" t="s">
        <v>20</v>
      </c>
      <c r="U185" t="s">
        <v>22</v>
      </c>
      <c r="V185" t="s">
        <v>20</v>
      </c>
      <c r="W185" t="s">
        <v>140</v>
      </c>
      <c r="X185" t="s">
        <v>20</v>
      </c>
      <c r="Y185" t="s">
        <v>19</v>
      </c>
      <c r="Z185" t="s">
        <v>20</v>
      </c>
      <c r="AA185">
        <v>0</v>
      </c>
      <c r="AB185" t="s">
        <v>20</v>
      </c>
      <c r="AC185">
        <v>0</v>
      </c>
      <c r="AD185" t="s">
        <v>20</v>
      </c>
      <c r="AE185">
        <v>0</v>
      </c>
      <c r="AF185" t="s">
        <v>20</v>
      </c>
      <c r="AG185">
        <v>0</v>
      </c>
      <c r="AJ185" t="str">
        <f>VLOOKUP(Sheet1!W185,'알람 범위'!$D$2:$F$45,3,FALSE)</f>
        <v>29500</v>
      </c>
      <c r="AK185">
        <v>11</v>
      </c>
      <c r="AL185">
        <f t="shared" si="53"/>
        <v>29511</v>
      </c>
      <c r="AM185" t="str">
        <f t="shared" si="36"/>
        <v>VA_TRANSFER_CIM_P1_CELL_INFORMATION_DOWNLOAD_TIMEOUT</v>
      </c>
    </row>
    <row r="186" spans="1:39" x14ac:dyDescent="0.3">
      <c r="A186">
        <f t="shared" si="52"/>
        <v>29512</v>
      </c>
      <c r="B186" t="s">
        <v>20</v>
      </c>
      <c r="C186" t="s">
        <v>127</v>
      </c>
      <c r="D186" t="s">
        <v>20</v>
      </c>
      <c r="E186" t="s">
        <v>118</v>
      </c>
      <c r="F186" t="s">
        <v>20</v>
      </c>
      <c r="G186" t="s">
        <v>121</v>
      </c>
      <c r="H186" t="s">
        <v>20</v>
      </c>
      <c r="I186" t="s">
        <v>121</v>
      </c>
      <c r="J186" t="s">
        <v>20</v>
      </c>
      <c r="K186" s="19" t="s">
        <v>121</v>
      </c>
      <c r="L186" t="s">
        <v>20</v>
      </c>
      <c r="M186" t="s">
        <v>121</v>
      </c>
      <c r="N186" t="s">
        <v>20</v>
      </c>
      <c r="O186" t="s">
        <v>121</v>
      </c>
      <c r="P186" t="s">
        <v>20</v>
      </c>
      <c r="Q186" t="s">
        <v>121</v>
      </c>
      <c r="R186" t="s">
        <v>20</v>
      </c>
      <c r="S186" t="s">
        <v>121</v>
      </c>
      <c r="T186" t="s">
        <v>20</v>
      </c>
      <c r="U186" t="s">
        <v>22</v>
      </c>
      <c r="V186" t="s">
        <v>20</v>
      </c>
      <c r="W186" t="s">
        <v>140</v>
      </c>
      <c r="X186" t="s">
        <v>20</v>
      </c>
      <c r="Y186" t="s">
        <v>19</v>
      </c>
      <c r="Z186" t="s">
        <v>20</v>
      </c>
      <c r="AA186">
        <v>0</v>
      </c>
      <c r="AB186" t="s">
        <v>20</v>
      </c>
      <c r="AC186">
        <v>0</v>
      </c>
      <c r="AD186" t="s">
        <v>20</v>
      </c>
      <c r="AE186">
        <v>0</v>
      </c>
      <c r="AF186" t="s">
        <v>20</v>
      </c>
      <c r="AG186">
        <v>0</v>
      </c>
      <c r="AJ186" t="str">
        <f>VLOOKUP(Sheet1!W186,'알람 범위'!$D$2:$F$45,3,FALSE)</f>
        <v>29500</v>
      </c>
      <c r="AK186">
        <v>12</v>
      </c>
      <c r="AL186">
        <f t="shared" si="53"/>
        <v>29512</v>
      </c>
      <c r="AM186" t="str">
        <f t="shared" si="36"/>
        <v>VA_TRANSFER_CIM_P1_CELL_INFORMATION_DOWNLOAD_MISSMATCH</v>
      </c>
    </row>
    <row r="187" spans="1:39" x14ac:dyDescent="0.3">
      <c r="A187">
        <f t="shared" ref="A187:A192" si="54">AL187</f>
        <v>29600</v>
      </c>
      <c r="B187" t="s">
        <v>20</v>
      </c>
      <c r="C187" t="s">
        <v>581</v>
      </c>
      <c r="D187" t="s">
        <v>20</v>
      </c>
      <c r="E187" t="s">
        <v>582</v>
      </c>
      <c r="F187" t="s">
        <v>20</v>
      </c>
      <c r="G187" t="s">
        <v>583</v>
      </c>
      <c r="H187" t="s">
        <v>20</v>
      </c>
      <c r="I187" t="s">
        <v>583</v>
      </c>
      <c r="J187" t="s">
        <v>20</v>
      </c>
      <c r="K187" s="19" t="s">
        <v>583</v>
      </c>
      <c r="L187" t="s">
        <v>20</v>
      </c>
      <c r="M187" t="s">
        <v>583</v>
      </c>
      <c r="N187" t="s">
        <v>20</v>
      </c>
      <c r="O187" t="s">
        <v>583</v>
      </c>
      <c r="P187" t="s">
        <v>20</v>
      </c>
      <c r="Q187" t="s">
        <v>583</v>
      </c>
      <c r="R187" t="s">
        <v>20</v>
      </c>
      <c r="S187" t="s">
        <v>583</v>
      </c>
      <c r="T187" t="s">
        <v>20</v>
      </c>
      <c r="U187" t="s">
        <v>22</v>
      </c>
      <c r="V187" t="s">
        <v>20</v>
      </c>
      <c r="W187" t="s">
        <v>140</v>
      </c>
      <c r="X187" t="s">
        <v>20</v>
      </c>
      <c r="Y187" t="s">
        <v>19</v>
      </c>
      <c r="Z187" t="s">
        <v>20</v>
      </c>
      <c r="AA187">
        <v>0</v>
      </c>
      <c r="AB187" t="s">
        <v>20</v>
      </c>
      <c r="AC187">
        <v>0</v>
      </c>
      <c r="AD187" t="s">
        <v>20</v>
      </c>
      <c r="AE187">
        <v>0</v>
      </c>
      <c r="AF187" t="s">
        <v>20</v>
      </c>
      <c r="AG187">
        <v>0</v>
      </c>
      <c r="AJ187" t="str">
        <f>VLOOKUP(Sheet1!W187,'알람 범위'!$D$2:$F$45,3,FALSE)</f>
        <v>29500</v>
      </c>
      <c r="AK187">
        <v>100</v>
      </c>
      <c r="AL187">
        <f t="shared" si="53"/>
        <v>29600</v>
      </c>
      <c r="AM187" t="str">
        <f t="shared" si="36"/>
        <v>VA_TRANSFER_CIM_P2_TRACKING_FAILED</v>
      </c>
    </row>
    <row r="188" spans="1:39" x14ac:dyDescent="0.3">
      <c r="A188">
        <f t="shared" si="54"/>
        <v>29601</v>
      </c>
      <c r="B188" t="s">
        <v>20</v>
      </c>
      <c r="C188" t="s">
        <v>584</v>
      </c>
      <c r="D188" t="s">
        <v>20</v>
      </c>
      <c r="E188" t="s">
        <v>585</v>
      </c>
      <c r="F188" t="s">
        <v>20</v>
      </c>
      <c r="G188" t="s">
        <v>586</v>
      </c>
      <c r="H188" t="s">
        <v>20</v>
      </c>
      <c r="I188" t="s">
        <v>586</v>
      </c>
      <c r="J188" t="s">
        <v>20</v>
      </c>
      <c r="K188" s="19" t="s">
        <v>586</v>
      </c>
      <c r="L188" t="s">
        <v>20</v>
      </c>
      <c r="M188" t="s">
        <v>586</v>
      </c>
      <c r="N188" t="s">
        <v>20</v>
      </c>
      <c r="O188" t="s">
        <v>586</v>
      </c>
      <c r="P188" t="s">
        <v>20</v>
      </c>
      <c r="Q188" t="s">
        <v>586</v>
      </c>
      <c r="R188" t="s">
        <v>20</v>
      </c>
      <c r="S188" t="s">
        <v>586</v>
      </c>
      <c r="T188" t="s">
        <v>20</v>
      </c>
      <c r="U188" t="s">
        <v>22</v>
      </c>
      <c r="V188" t="s">
        <v>20</v>
      </c>
      <c r="W188" t="s">
        <v>140</v>
      </c>
      <c r="X188" t="s">
        <v>20</v>
      </c>
      <c r="Y188" t="s">
        <v>19</v>
      </c>
      <c r="Z188" t="s">
        <v>20</v>
      </c>
      <c r="AA188">
        <v>0</v>
      </c>
      <c r="AB188" t="s">
        <v>20</v>
      </c>
      <c r="AC188">
        <v>0</v>
      </c>
      <c r="AD188" t="s">
        <v>20</v>
      </c>
      <c r="AE188">
        <v>0</v>
      </c>
      <c r="AF188" t="s">
        <v>20</v>
      </c>
      <c r="AG188">
        <v>0</v>
      </c>
      <c r="AJ188" t="str">
        <f>VLOOKUP(Sheet1!W188,'알람 범위'!$D$2:$F$45,3,FALSE)</f>
        <v>29500</v>
      </c>
      <c r="AK188">
        <v>101</v>
      </c>
      <c r="AL188">
        <f t="shared" ref="AL188:AL192" si="55">AJ188+AK188</f>
        <v>29601</v>
      </c>
      <c r="AM188" t="str">
        <f t="shared" si="36"/>
        <v>VA_TRANSFER_CIM_P2_TRACKING_TIMEOUT</v>
      </c>
    </row>
    <row r="189" spans="1:39" x14ac:dyDescent="0.3">
      <c r="A189">
        <f t="shared" si="54"/>
        <v>29602</v>
      </c>
      <c r="B189" t="s">
        <v>20</v>
      </c>
      <c r="C189" t="s">
        <v>587</v>
      </c>
      <c r="D189" t="s">
        <v>20</v>
      </c>
      <c r="E189" t="s">
        <v>588</v>
      </c>
      <c r="F189" t="s">
        <v>20</v>
      </c>
      <c r="G189" t="s">
        <v>589</v>
      </c>
      <c r="H189" t="s">
        <v>20</v>
      </c>
      <c r="I189" t="s">
        <v>589</v>
      </c>
      <c r="J189" t="s">
        <v>20</v>
      </c>
      <c r="K189" s="19" t="s">
        <v>589</v>
      </c>
      <c r="L189" t="s">
        <v>20</v>
      </c>
      <c r="M189" t="s">
        <v>589</v>
      </c>
      <c r="N189" t="s">
        <v>20</v>
      </c>
      <c r="O189" t="s">
        <v>589</v>
      </c>
      <c r="P189" t="s">
        <v>20</v>
      </c>
      <c r="Q189" t="s">
        <v>589</v>
      </c>
      <c r="R189" t="s">
        <v>20</v>
      </c>
      <c r="S189" t="s">
        <v>589</v>
      </c>
      <c r="T189" t="s">
        <v>20</v>
      </c>
      <c r="U189" t="s">
        <v>22</v>
      </c>
      <c r="V189" t="s">
        <v>20</v>
      </c>
      <c r="W189" t="s">
        <v>140</v>
      </c>
      <c r="X189" t="s">
        <v>20</v>
      </c>
      <c r="Y189" t="s">
        <v>19</v>
      </c>
      <c r="Z189" t="s">
        <v>20</v>
      </c>
      <c r="AA189">
        <v>0</v>
      </c>
      <c r="AB189" t="s">
        <v>20</v>
      </c>
      <c r="AC189">
        <v>0</v>
      </c>
      <c r="AD189" t="s">
        <v>20</v>
      </c>
      <c r="AE189">
        <v>0</v>
      </c>
      <c r="AF189" t="s">
        <v>20</v>
      </c>
      <c r="AG189">
        <v>0</v>
      </c>
      <c r="AJ189" t="str">
        <f>VLOOKUP(Sheet1!W189,'알람 범위'!$D$2:$F$45,3,FALSE)</f>
        <v>29500</v>
      </c>
      <c r="AK189">
        <v>102</v>
      </c>
      <c r="AL189">
        <f t="shared" si="55"/>
        <v>29602</v>
      </c>
      <c r="AM189" t="str">
        <f t="shared" si="36"/>
        <v>VA_TRANSFER_CIM_P2_TRACKING_MISSMATCH</v>
      </c>
    </row>
    <row r="190" spans="1:39" x14ac:dyDescent="0.3">
      <c r="A190">
        <f t="shared" si="54"/>
        <v>29610</v>
      </c>
      <c r="B190" t="s">
        <v>20</v>
      </c>
      <c r="C190" t="s">
        <v>590</v>
      </c>
      <c r="D190" t="s">
        <v>20</v>
      </c>
      <c r="E190" t="s">
        <v>591</v>
      </c>
      <c r="F190" t="s">
        <v>20</v>
      </c>
      <c r="G190" t="s">
        <v>592</v>
      </c>
      <c r="H190" t="s">
        <v>20</v>
      </c>
      <c r="I190" t="s">
        <v>592</v>
      </c>
      <c r="J190" t="s">
        <v>20</v>
      </c>
      <c r="K190" s="19" t="s">
        <v>592</v>
      </c>
      <c r="L190" t="s">
        <v>20</v>
      </c>
      <c r="M190" t="s">
        <v>592</v>
      </c>
      <c r="N190" t="s">
        <v>20</v>
      </c>
      <c r="O190" t="s">
        <v>592</v>
      </c>
      <c r="P190" t="s">
        <v>20</v>
      </c>
      <c r="Q190" t="s">
        <v>592</v>
      </c>
      <c r="R190" t="s">
        <v>20</v>
      </c>
      <c r="S190" t="s">
        <v>592</v>
      </c>
      <c r="T190" t="s">
        <v>20</v>
      </c>
      <c r="U190" t="s">
        <v>22</v>
      </c>
      <c r="V190" t="s">
        <v>20</v>
      </c>
      <c r="W190" t="s">
        <v>140</v>
      </c>
      <c r="X190" t="s">
        <v>20</v>
      </c>
      <c r="Y190" t="s">
        <v>19</v>
      </c>
      <c r="Z190" t="s">
        <v>20</v>
      </c>
      <c r="AA190">
        <v>0</v>
      </c>
      <c r="AB190" t="s">
        <v>20</v>
      </c>
      <c r="AC190">
        <v>0</v>
      </c>
      <c r="AD190" t="s">
        <v>20</v>
      </c>
      <c r="AE190">
        <v>0</v>
      </c>
      <c r="AF190" t="s">
        <v>20</v>
      </c>
      <c r="AG190">
        <v>0</v>
      </c>
      <c r="AJ190" t="str">
        <f>VLOOKUP(Sheet1!W190,'알람 범위'!$D$2:$F$45,3,FALSE)</f>
        <v>29500</v>
      </c>
      <c r="AK190">
        <v>110</v>
      </c>
      <c r="AL190">
        <f t="shared" si="55"/>
        <v>29610</v>
      </c>
      <c r="AM190" t="str">
        <f t="shared" si="36"/>
        <v>VA_TRANSFER_CIM_P2_CELL_INFORMATION_DOWNLOAD_FAILED</v>
      </c>
    </row>
    <row r="191" spans="1:39" x14ac:dyDescent="0.3">
      <c r="A191">
        <f t="shared" si="54"/>
        <v>29611</v>
      </c>
      <c r="B191" t="s">
        <v>20</v>
      </c>
      <c r="C191" t="s">
        <v>593</v>
      </c>
      <c r="D191" t="s">
        <v>20</v>
      </c>
      <c r="E191" t="s">
        <v>594</v>
      </c>
      <c r="F191" t="s">
        <v>20</v>
      </c>
      <c r="G191" t="s">
        <v>595</v>
      </c>
      <c r="H191" t="s">
        <v>20</v>
      </c>
      <c r="I191" t="s">
        <v>595</v>
      </c>
      <c r="J191" t="s">
        <v>20</v>
      </c>
      <c r="K191" s="19" t="s">
        <v>595</v>
      </c>
      <c r="L191" t="s">
        <v>20</v>
      </c>
      <c r="M191" t="s">
        <v>595</v>
      </c>
      <c r="N191" t="s">
        <v>20</v>
      </c>
      <c r="O191" t="s">
        <v>595</v>
      </c>
      <c r="P191" t="s">
        <v>20</v>
      </c>
      <c r="Q191" t="s">
        <v>595</v>
      </c>
      <c r="R191" t="s">
        <v>20</v>
      </c>
      <c r="S191" t="s">
        <v>595</v>
      </c>
      <c r="T191" t="s">
        <v>20</v>
      </c>
      <c r="U191" t="s">
        <v>22</v>
      </c>
      <c r="V191" t="s">
        <v>20</v>
      </c>
      <c r="W191" t="s">
        <v>140</v>
      </c>
      <c r="X191" t="s">
        <v>20</v>
      </c>
      <c r="Y191" t="s">
        <v>19</v>
      </c>
      <c r="Z191" t="s">
        <v>20</v>
      </c>
      <c r="AA191">
        <v>0</v>
      </c>
      <c r="AB191" t="s">
        <v>20</v>
      </c>
      <c r="AC191">
        <v>0</v>
      </c>
      <c r="AD191" t="s">
        <v>20</v>
      </c>
      <c r="AE191">
        <v>0</v>
      </c>
      <c r="AF191" t="s">
        <v>20</v>
      </c>
      <c r="AG191">
        <v>0</v>
      </c>
      <c r="AJ191" t="str">
        <f>VLOOKUP(Sheet1!W191,'알람 범위'!$D$2:$F$45,3,FALSE)</f>
        <v>29500</v>
      </c>
      <c r="AK191">
        <v>111</v>
      </c>
      <c r="AL191">
        <f t="shared" si="55"/>
        <v>29611</v>
      </c>
      <c r="AM191" t="str">
        <f t="shared" si="36"/>
        <v>VA_TRANSFER_CIM_P2_CELL_INFORMATION_DOWNLOAD_TIMEOUT</v>
      </c>
    </row>
    <row r="192" spans="1:39" x14ac:dyDescent="0.3">
      <c r="A192">
        <f t="shared" si="54"/>
        <v>29612</v>
      </c>
      <c r="B192" t="s">
        <v>20</v>
      </c>
      <c r="C192" t="s">
        <v>596</v>
      </c>
      <c r="D192" t="s">
        <v>20</v>
      </c>
      <c r="E192" t="s">
        <v>597</v>
      </c>
      <c r="F192" t="s">
        <v>20</v>
      </c>
      <c r="G192" t="s">
        <v>598</v>
      </c>
      <c r="H192" t="s">
        <v>20</v>
      </c>
      <c r="I192" t="s">
        <v>598</v>
      </c>
      <c r="J192" t="s">
        <v>20</v>
      </c>
      <c r="K192" s="19" t="s">
        <v>598</v>
      </c>
      <c r="L192" t="s">
        <v>20</v>
      </c>
      <c r="M192" t="s">
        <v>598</v>
      </c>
      <c r="N192" t="s">
        <v>20</v>
      </c>
      <c r="O192" t="s">
        <v>598</v>
      </c>
      <c r="P192" t="s">
        <v>20</v>
      </c>
      <c r="Q192" t="s">
        <v>598</v>
      </c>
      <c r="R192" t="s">
        <v>20</v>
      </c>
      <c r="S192" t="s">
        <v>598</v>
      </c>
      <c r="T192" t="s">
        <v>20</v>
      </c>
      <c r="U192" t="s">
        <v>22</v>
      </c>
      <c r="V192" t="s">
        <v>20</v>
      </c>
      <c r="W192" t="s">
        <v>140</v>
      </c>
      <c r="X192" t="s">
        <v>20</v>
      </c>
      <c r="Y192" t="s">
        <v>19</v>
      </c>
      <c r="Z192" t="s">
        <v>20</v>
      </c>
      <c r="AA192">
        <v>0</v>
      </c>
      <c r="AB192" t="s">
        <v>20</v>
      </c>
      <c r="AC192">
        <v>0</v>
      </c>
      <c r="AD192" t="s">
        <v>20</v>
      </c>
      <c r="AE192">
        <v>0</v>
      </c>
      <c r="AF192" t="s">
        <v>20</v>
      </c>
      <c r="AG192">
        <v>0</v>
      </c>
      <c r="AJ192" t="str">
        <f>VLOOKUP(Sheet1!W192,'알람 범위'!$D$2:$F$45,3,FALSE)</f>
        <v>29500</v>
      </c>
      <c r="AK192">
        <v>112</v>
      </c>
      <c r="AL192">
        <f t="shared" si="55"/>
        <v>29612</v>
      </c>
      <c r="AM192" t="str">
        <f t="shared" si="36"/>
        <v>VA_TRANSFER_CIM_P2_CELL_INFORMATION_DOWNLOAD_MISSMATCH</v>
      </c>
    </row>
    <row r="193" spans="1:39" x14ac:dyDescent="0.3">
      <c r="A193">
        <f t="shared" si="52"/>
        <v>29998</v>
      </c>
      <c r="B193" t="s">
        <v>20</v>
      </c>
      <c r="C193" t="s">
        <v>108</v>
      </c>
      <c r="D193" t="s">
        <v>20</v>
      </c>
      <c r="E193" t="s">
        <v>170</v>
      </c>
      <c r="F193" t="s">
        <v>20</v>
      </c>
      <c r="G193" t="s">
        <v>141</v>
      </c>
      <c r="H193" t="s">
        <v>20</v>
      </c>
      <c r="I193" t="s">
        <v>141</v>
      </c>
      <c r="J193" t="s">
        <v>20</v>
      </c>
      <c r="K193" t="s">
        <v>141</v>
      </c>
      <c r="L193" t="s">
        <v>20</v>
      </c>
      <c r="M193" t="s">
        <v>147</v>
      </c>
      <c r="N193" t="s">
        <v>20</v>
      </c>
      <c r="O193" t="s">
        <v>171</v>
      </c>
      <c r="P193" t="s">
        <v>20</v>
      </c>
      <c r="Q193" t="s">
        <v>171</v>
      </c>
      <c r="R193" t="s">
        <v>20</v>
      </c>
      <c r="S193" t="s">
        <v>171</v>
      </c>
      <c r="T193" t="s">
        <v>20</v>
      </c>
      <c r="U193" t="s">
        <v>95</v>
      </c>
      <c r="V193" t="s">
        <v>20</v>
      </c>
      <c r="W193" t="s">
        <v>140</v>
      </c>
      <c r="X193" t="s">
        <v>20</v>
      </c>
      <c r="Y193" t="s">
        <v>19</v>
      </c>
      <c r="Z193" t="s">
        <v>20</v>
      </c>
      <c r="AA193">
        <v>0</v>
      </c>
      <c r="AB193" t="s">
        <v>20</v>
      </c>
      <c r="AC193">
        <v>0</v>
      </c>
      <c r="AD193" t="s">
        <v>20</v>
      </c>
      <c r="AE193">
        <v>0</v>
      </c>
      <c r="AF193" t="s">
        <v>20</v>
      </c>
      <c r="AG193">
        <v>0</v>
      </c>
      <c r="AJ193" t="str">
        <f>VLOOKUP(Sheet1!W193,'알람 범위'!$D$2:$F$45,3,FALSE)</f>
        <v>29500</v>
      </c>
      <c r="AK193">
        <v>498</v>
      </c>
      <c r="AL193">
        <f t="shared" si="53"/>
        <v>29998</v>
      </c>
      <c r="AM193" t="str">
        <f t="shared" si="36"/>
        <v>CO_TRANSFER_CIM_N_HOST_DISCONNECTED</v>
      </c>
    </row>
    <row r="194" spans="1:39" x14ac:dyDescent="0.3">
      <c r="A194">
        <f t="shared" si="52"/>
        <v>29999</v>
      </c>
      <c r="B194" t="s">
        <v>20</v>
      </c>
      <c r="C194" t="s">
        <v>109</v>
      </c>
      <c r="D194" t="s">
        <v>20</v>
      </c>
      <c r="E194" t="s">
        <v>148</v>
      </c>
      <c r="F194" t="s">
        <v>20</v>
      </c>
      <c r="G194" t="s">
        <v>172</v>
      </c>
      <c r="H194" t="s">
        <v>20</v>
      </c>
      <c r="I194" t="s">
        <v>172</v>
      </c>
      <c r="J194" t="s">
        <v>20</v>
      </c>
      <c r="K194" t="s">
        <v>172</v>
      </c>
      <c r="L194" t="s">
        <v>20</v>
      </c>
      <c r="M194" t="s">
        <v>149</v>
      </c>
      <c r="N194" t="s">
        <v>20</v>
      </c>
      <c r="O194" t="s">
        <v>173</v>
      </c>
      <c r="P194" t="s">
        <v>20</v>
      </c>
      <c r="Q194" t="s">
        <v>173</v>
      </c>
      <c r="R194" t="s">
        <v>20</v>
      </c>
      <c r="S194" t="s">
        <v>173</v>
      </c>
      <c r="T194" t="s">
        <v>20</v>
      </c>
      <c r="U194" t="s">
        <v>95</v>
      </c>
      <c r="V194" t="s">
        <v>20</v>
      </c>
      <c r="W194" t="s">
        <v>140</v>
      </c>
      <c r="X194" t="s">
        <v>20</v>
      </c>
      <c r="Y194" t="s">
        <v>19</v>
      </c>
      <c r="Z194" t="s">
        <v>20</v>
      </c>
      <c r="AA194">
        <v>0</v>
      </c>
      <c r="AB194" t="s">
        <v>20</v>
      </c>
      <c r="AC194">
        <v>0</v>
      </c>
      <c r="AD194" t="s">
        <v>20</v>
      </c>
      <c r="AE194">
        <v>0</v>
      </c>
      <c r="AF194" t="s">
        <v>20</v>
      </c>
      <c r="AG194">
        <v>0</v>
      </c>
      <c r="AJ194" t="str">
        <f>VLOOKUP(Sheet1!W194,'알람 범위'!$D$2:$F$45,3,FALSE)</f>
        <v>29500</v>
      </c>
      <c r="AK194">
        <v>499</v>
      </c>
      <c r="AL194">
        <f t="shared" si="53"/>
        <v>29999</v>
      </c>
      <c r="AM194" t="str">
        <f t="shared" ref="AM194:AM224" si="56">C194</f>
        <v>CO_TRANSFER_CIM_N_CIM_DISCONNECTED</v>
      </c>
    </row>
    <row r="195" spans="1:39" x14ac:dyDescent="0.3">
      <c r="A195">
        <f t="shared" ref="A195" si="57">AL195</f>
        <v>30000</v>
      </c>
      <c r="B195" t="s">
        <v>20</v>
      </c>
      <c r="C195" t="s">
        <v>1016</v>
      </c>
      <c r="D195" t="s">
        <v>128</v>
      </c>
      <c r="E195" t="s">
        <v>599</v>
      </c>
      <c r="F195" t="str">
        <f t="shared" ref="F195" si="58">D195</f>
        <v>,</v>
      </c>
      <c r="G195" t="s">
        <v>275</v>
      </c>
      <c r="H195" t="str">
        <f t="shared" ref="H195" si="59">D195</f>
        <v>,</v>
      </c>
      <c r="I195" t="s">
        <v>275</v>
      </c>
      <c r="J195" t="str">
        <f t="shared" ref="J195" si="60">F195</f>
        <v>,</v>
      </c>
      <c r="K195" t="s">
        <v>275</v>
      </c>
      <c r="L195" t="str">
        <f t="shared" ref="L195" si="61">H195</f>
        <v>,</v>
      </c>
      <c r="M195" t="s">
        <v>602</v>
      </c>
      <c r="N195" t="str">
        <f t="shared" ref="N195" si="62">J195</f>
        <v>,</v>
      </c>
      <c r="O195" t="s">
        <v>604</v>
      </c>
      <c r="P195" t="str">
        <f t="shared" ref="P195" si="63">L195</f>
        <v>,</v>
      </c>
      <c r="Q195" t="s">
        <v>604</v>
      </c>
      <c r="R195" t="str">
        <f t="shared" ref="R195" si="64">N195</f>
        <v>,</v>
      </c>
      <c r="S195" t="s">
        <v>604</v>
      </c>
      <c r="T195" t="str">
        <f t="shared" ref="T195" si="65">P195</f>
        <v>,</v>
      </c>
      <c r="U195" t="s">
        <v>21</v>
      </c>
      <c r="V195" t="str">
        <f t="shared" ref="V195" si="66">R195</f>
        <v>,</v>
      </c>
      <c r="W195" t="s">
        <v>24</v>
      </c>
      <c r="X195" t="s">
        <v>20</v>
      </c>
      <c r="Y195" t="s">
        <v>19</v>
      </c>
      <c r="Z195" t="s">
        <v>20</v>
      </c>
      <c r="AA195" s="21">
        <v>0.19743179999999999</v>
      </c>
      <c r="AB195" t="s">
        <v>20</v>
      </c>
      <c r="AC195" s="21">
        <v>2.0833330000000001E-2</v>
      </c>
      <c r="AD195" t="s">
        <v>20</v>
      </c>
      <c r="AE195" s="21">
        <v>0.78812199999999999</v>
      </c>
      <c r="AF195" t="s">
        <v>20</v>
      </c>
      <c r="AG195" s="21">
        <v>0.2096354</v>
      </c>
      <c r="AJ195" t="str">
        <f>VLOOKUP(Sheet1!W195,'알람 범위'!$D$2:$F$45,3,FALSE)</f>
        <v>30000</v>
      </c>
      <c r="AK195">
        <v>0</v>
      </c>
      <c r="AL195">
        <f t="shared" ref="AL195" si="67">AJ195+AK195</f>
        <v>30000</v>
      </c>
      <c r="AM195" t="str">
        <f t="shared" si="56"/>
        <v>UT_MAIN_ELECTRONICBOX_TEMPERATURE_1_N_OVER40</v>
      </c>
    </row>
    <row r="196" spans="1:39" x14ac:dyDescent="0.3">
      <c r="A196">
        <f t="shared" ref="A196" si="68">AL196</f>
        <v>30001</v>
      </c>
      <c r="B196" t="s">
        <v>20</v>
      </c>
      <c r="C196" t="s">
        <v>1017</v>
      </c>
      <c r="D196" t="s">
        <v>128</v>
      </c>
      <c r="E196" t="s">
        <v>983</v>
      </c>
      <c r="F196" t="str">
        <f t="shared" ref="F196" si="69">D196</f>
        <v>,</v>
      </c>
      <c r="G196" t="s">
        <v>984</v>
      </c>
      <c r="H196" t="str">
        <f t="shared" ref="H196" si="70">D196</f>
        <v>,</v>
      </c>
      <c r="I196" t="s">
        <v>984</v>
      </c>
      <c r="J196" t="str">
        <f t="shared" ref="J196" si="71">F196</f>
        <v>,</v>
      </c>
      <c r="K196" t="s">
        <v>984</v>
      </c>
      <c r="L196" t="str">
        <f t="shared" ref="L196" si="72">H196</f>
        <v>,</v>
      </c>
      <c r="M196" t="s">
        <v>602</v>
      </c>
      <c r="N196" t="str">
        <f t="shared" ref="N196" si="73">J196</f>
        <v>,</v>
      </c>
      <c r="O196" t="s">
        <v>604</v>
      </c>
      <c r="P196" t="str">
        <f t="shared" ref="P196" si="74">L196</f>
        <v>,</v>
      </c>
      <c r="Q196" t="s">
        <v>604</v>
      </c>
      <c r="R196" t="str">
        <f t="shared" ref="R196" si="75">N196</f>
        <v>,</v>
      </c>
      <c r="S196" t="s">
        <v>604</v>
      </c>
      <c r="T196" t="str">
        <f t="shared" ref="T196" si="76">P196</f>
        <v>,</v>
      </c>
      <c r="U196" t="s">
        <v>21</v>
      </c>
      <c r="V196" t="str">
        <f t="shared" ref="V196" si="77">R196</f>
        <v>,</v>
      </c>
      <c r="W196" t="s">
        <v>24</v>
      </c>
      <c r="X196" t="s">
        <v>20</v>
      </c>
      <c r="Y196" t="s">
        <v>19</v>
      </c>
      <c r="Z196" t="s">
        <v>20</v>
      </c>
      <c r="AA196" s="21">
        <v>0.48635630000000002</v>
      </c>
      <c r="AB196" t="s">
        <v>20</v>
      </c>
      <c r="AC196" s="21">
        <v>0.74609380000000003</v>
      </c>
      <c r="AD196" t="s">
        <v>20</v>
      </c>
      <c r="AE196" s="21">
        <v>0.2375602</v>
      </c>
      <c r="AF196" t="s">
        <v>20</v>
      </c>
      <c r="AG196" s="21">
        <v>0.2526042</v>
      </c>
      <c r="AJ196" t="str">
        <f>VLOOKUP(Sheet1!W196,'알람 범위'!$D$2:$F$45,3,FALSE)</f>
        <v>30000</v>
      </c>
      <c r="AK196">
        <v>1</v>
      </c>
      <c r="AL196">
        <f t="shared" ref="AL196" si="78">AJ196+AK196</f>
        <v>30001</v>
      </c>
      <c r="AM196" t="str">
        <f t="shared" si="56"/>
        <v>UT_MAIN_PCRACK_TEMPERATURE_1_N_OVER40</v>
      </c>
    </row>
    <row r="197" spans="1:39" x14ac:dyDescent="0.3">
      <c r="A197">
        <f t="shared" ref="A197" si="79">AL197</f>
        <v>30002</v>
      </c>
      <c r="B197" t="s">
        <v>20</v>
      </c>
      <c r="C197" t="s">
        <v>1018</v>
      </c>
      <c r="D197" t="s">
        <v>128</v>
      </c>
      <c r="E197" t="s">
        <v>600</v>
      </c>
      <c r="F197" t="s">
        <v>20</v>
      </c>
      <c r="G197" t="s">
        <v>601</v>
      </c>
      <c r="H197" t="s">
        <v>20</v>
      </c>
      <c r="I197" t="s">
        <v>601</v>
      </c>
      <c r="J197" t="s">
        <v>128</v>
      </c>
      <c r="K197" s="19" t="s">
        <v>601</v>
      </c>
      <c r="L197" t="s">
        <v>197</v>
      </c>
      <c r="M197" t="s">
        <v>603</v>
      </c>
      <c r="N197" t="s">
        <v>128</v>
      </c>
      <c r="O197" t="s">
        <v>605</v>
      </c>
      <c r="P197" t="s">
        <v>174</v>
      </c>
      <c r="Q197" t="s">
        <v>605</v>
      </c>
      <c r="R197" t="s">
        <v>174</v>
      </c>
      <c r="S197" t="s">
        <v>605</v>
      </c>
      <c r="T197" t="s">
        <v>20</v>
      </c>
      <c r="U197" t="s">
        <v>21</v>
      </c>
      <c r="V197" t="s">
        <v>20</v>
      </c>
      <c r="W197" t="s">
        <v>24</v>
      </c>
      <c r="X197" t="s">
        <v>20</v>
      </c>
      <c r="Y197" t="s">
        <v>19</v>
      </c>
      <c r="Z197" t="s">
        <v>20</v>
      </c>
      <c r="AA197" s="21">
        <v>0.19743179999999999</v>
      </c>
      <c r="AB197" t="s">
        <v>20</v>
      </c>
      <c r="AC197" s="21">
        <v>2.0833330000000001E-2</v>
      </c>
      <c r="AD197" t="s">
        <v>20</v>
      </c>
      <c r="AE197" s="21">
        <v>0.78812199999999999</v>
      </c>
      <c r="AF197" t="s">
        <v>20</v>
      </c>
      <c r="AG197" s="21">
        <v>0.2096354</v>
      </c>
      <c r="AJ197" t="str">
        <f>VLOOKUP(Sheet1!W197,'알람 범위'!$D$2:$F$45,3,FALSE)</f>
        <v>30000</v>
      </c>
      <c r="AK197">
        <v>2</v>
      </c>
      <c r="AL197">
        <f t="shared" ref="AL197" si="80">AJ197+AK197</f>
        <v>30002</v>
      </c>
      <c r="AM197" t="str">
        <f t="shared" si="56"/>
        <v>UT_MAIN_ELECTRONICBOX_SMOKE_SENSOR_1_N_DETECTED</v>
      </c>
    </row>
    <row r="198" spans="1:39" x14ac:dyDescent="0.3">
      <c r="A198">
        <f t="shared" si="52"/>
        <v>30003</v>
      </c>
      <c r="B198" t="s">
        <v>20</v>
      </c>
      <c r="C198" t="s">
        <v>283</v>
      </c>
      <c r="D198" t="s">
        <v>20</v>
      </c>
      <c r="E198" t="s">
        <v>142</v>
      </c>
      <c r="F198" t="s">
        <v>20</v>
      </c>
      <c r="G198" t="s">
        <v>143</v>
      </c>
      <c r="H198" t="s">
        <v>20</v>
      </c>
      <c r="I198" t="s">
        <v>143</v>
      </c>
      <c r="J198" t="s">
        <v>20</v>
      </c>
      <c r="K198" s="19" t="s">
        <v>72</v>
      </c>
      <c r="L198" t="s">
        <v>20</v>
      </c>
      <c r="M198" t="s">
        <v>175</v>
      </c>
      <c r="N198" t="s">
        <v>174</v>
      </c>
      <c r="O198" t="s">
        <v>67</v>
      </c>
      <c r="P198" t="s">
        <v>128</v>
      </c>
      <c r="Q198" t="s">
        <v>67</v>
      </c>
      <c r="R198" t="s">
        <v>174</v>
      </c>
      <c r="S198" t="s">
        <v>70</v>
      </c>
      <c r="T198" t="s">
        <v>20</v>
      </c>
      <c r="U198" t="s">
        <v>21</v>
      </c>
      <c r="V198" t="s">
        <v>20</v>
      </c>
      <c r="W198" t="s">
        <v>24</v>
      </c>
      <c r="X198" t="s">
        <v>20</v>
      </c>
      <c r="Y198" t="s">
        <v>19</v>
      </c>
      <c r="Z198" t="s">
        <v>20</v>
      </c>
      <c r="AA198" s="21">
        <v>0</v>
      </c>
      <c r="AB198" t="s">
        <v>20</v>
      </c>
      <c r="AC198" s="21">
        <v>0</v>
      </c>
      <c r="AD198" t="s">
        <v>20</v>
      </c>
      <c r="AE198" s="21">
        <v>0</v>
      </c>
      <c r="AF198" t="s">
        <v>20</v>
      </c>
      <c r="AG198" s="21">
        <v>0</v>
      </c>
      <c r="AJ198" t="str">
        <f>VLOOKUP(Sheet1!W198,'알람 범위'!$D$2:$F$45,3,FALSE)</f>
        <v>30000</v>
      </c>
      <c r="AK198">
        <v>3</v>
      </c>
      <c r="AL198">
        <f t="shared" si="53"/>
        <v>30003</v>
      </c>
      <c r="AM198" t="str">
        <f t="shared" si="56"/>
        <v>UT_MAIN_SAFETYPLC_GPS_MC_POWER_OFF</v>
      </c>
    </row>
    <row r="199" spans="1:39" x14ac:dyDescent="0.3">
      <c r="A199">
        <f t="shared" ref="A199:A201" si="81">AL199</f>
        <v>30004</v>
      </c>
      <c r="B199" t="s">
        <v>20</v>
      </c>
      <c r="C199" t="s">
        <v>133</v>
      </c>
      <c r="D199" t="s">
        <v>128</v>
      </c>
      <c r="E199" t="s">
        <v>134</v>
      </c>
      <c r="F199" t="s">
        <v>20</v>
      </c>
      <c r="G199" t="s">
        <v>135</v>
      </c>
      <c r="H199" t="s">
        <v>20</v>
      </c>
      <c r="I199" t="s">
        <v>135</v>
      </c>
      <c r="J199" t="s">
        <v>174</v>
      </c>
      <c r="K199" s="19" t="s">
        <v>135</v>
      </c>
      <c r="L199" t="s">
        <v>174</v>
      </c>
      <c r="M199" t="s">
        <v>607</v>
      </c>
      <c r="N199" t="s">
        <v>174</v>
      </c>
      <c r="O199" t="s">
        <v>136</v>
      </c>
      <c r="P199" t="s">
        <v>174</v>
      </c>
      <c r="Q199" t="s">
        <v>136</v>
      </c>
      <c r="R199" t="s">
        <v>128</v>
      </c>
      <c r="S199" t="s">
        <v>136</v>
      </c>
      <c r="T199" t="s">
        <v>20</v>
      </c>
      <c r="U199" t="s">
        <v>21</v>
      </c>
      <c r="V199" t="s">
        <v>20</v>
      </c>
      <c r="W199" t="s">
        <v>24</v>
      </c>
      <c r="X199" t="s">
        <v>20</v>
      </c>
      <c r="Y199" t="s">
        <v>19</v>
      </c>
      <c r="Z199" t="s">
        <v>20</v>
      </c>
      <c r="AA199" s="21">
        <v>0.1813804</v>
      </c>
      <c r="AB199" t="s">
        <v>20</v>
      </c>
      <c r="AC199" s="21">
        <v>0.92057290000000003</v>
      </c>
      <c r="AD199" t="s">
        <v>20</v>
      </c>
      <c r="AE199" s="21">
        <v>0.80738370000000004</v>
      </c>
      <c r="AF199" t="s">
        <v>20</v>
      </c>
      <c r="AG199" s="21">
        <v>7.2916659999999994E-2</v>
      </c>
      <c r="AJ199" t="str">
        <f>VLOOKUP(Sheet1!W199,'알람 범위'!$D$2:$F$45,3,FALSE)</f>
        <v>30000</v>
      </c>
      <c r="AK199">
        <v>4</v>
      </c>
      <c r="AL199">
        <f t="shared" ref="AL199:AL201" si="82">AJ199+AK199</f>
        <v>30004</v>
      </c>
      <c r="AM199" t="str">
        <f t="shared" si="56"/>
        <v>CO_MAIN_DEVICE_MCU_DISCONNECTED</v>
      </c>
    </row>
    <row r="200" spans="1:39" x14ac:dyDescent="0.3">
      <c r="A200">
        <f t="shared" si="81"/>
        <v>30005</v>
      </c>
      <c r="B200" t="s">
        <v>20</v>
      </c>
      <c r="C200" t="s">
        <v>129</v>
      </c>
      <c r="D200" t="s">
        <v>128</v>
      </c>
      <c r="E200" t="s">
        <v>130</v>
      </c>
      <c r="F200" t="s">
        <v>20</v>
      </c>
      <c r="G200" t="s">
        <v>131</v>
      </c>
      <c r="H200" t="s">
        <v>20</v>
      </c>
      <c r="I200" t="s">
        <v>131</v>
      </c>
      <c r="J200" t="s">
        <v>174</v>
      </c>
      <c r="K200" s="19" t="s">
        <v>131</v>
      </c>
      <c r="L200" t="s">
        <v>174</v>
      </c>
      <c r="M200" t="s">
        <v>608</v>
      </c>
      <c r="N200" t="s">
        <v>174</v>
      </c>
      <c r="O200" t="s">
        <v>132</v>
      </c>
      <c r="P200" t="s">
        <v>174</v>
      </c>
      <c r="Q200" t="s">
        <v>132</v>
      </c>
      <c r="R200" t="s">
        <v>128</v>
      </c>
      <c r="S200" t="s">
        <v>132</v>
      </c>
      <c r="T200" t="s">
        <v>20</v>
      </c>
      <c r="U200" t="s">
        <v>21</v>
      </c>
      <c r="V200" t="s">
        <v>20</v>
      </c>
      <c r="W200" t="s">
        <v>24</v>
      </c>
      <c r="X200" t="s">
        <v>20</v>
      </c>
      <c r="Y200" t="s">
        <v>19</v>
      </c>
      <c r="Z200" t="s">
        <v>20</v>
      </c>
      <c r="AA200" s="21">
        <v>0</v>
      </c>
      <c r="AB200" t="s">
        <v>20</v>
      </c>
      <c r="AC200" s="21">
        <v>0</v>
      </c>
      <c r="AD200" t="s">
        <v>20</v>
      </c>
      <c r="AE200" s="21">
        <v>0</v>
      </c>
      <c r="AF200" t="s">
        <v>20</v>
      </c>
      <c r="AG200" s="21">
        <v>0</v>
      </c>
      <c r="AJ200" t="str">
        <f>VLOOKUP(Sheet1!W200,'알람 범위'!$D$2:$F$45,3,FALSE)</f>
        <v>30000</v>
      </c>
      <c r="AK200">
        <v>5</v>
      </c>
      <c r="AL200">
        <f t="shared" si="82"/>
        <v>30005</v>
      </c>
      <c r="AM200" t="str">
        <f t="shared" si="56"/>
        <v>CO_MAIN_DEVICE_GMS_DISCONNECTED</v>
      </c>
    </row>
    <row r="201" spans="1:39" x14ac:dyDescent="0.3">
      <c r="A201">
        <f t="shared" si="81"/>
        <v>30006</v>
      </c>
      <c r="B201" t="s">
        <v>20</v>
      </c>
      <c r="C201" t="s">
        <v>1014</v>
      </c>
      <c r="D201" t="s">
        <v>128</v>
      </c>
      <c r="E201" t="s">
        <v>606</v>
      </c>
      <c r="F201" t="s">
        <v>20</v>
      </c>
      <c r="G201" t="s">
        <v>280</v>
      </c>
      <c r="H201" t="s">
        <v>20</v>
      </c>
      <c r="I201" t="s">
        <v>280</v>
      </c>
      <c r="J201" t="s">
        <v>174</v>
      </c>
      <c r="K201" t="s">
        <v>280</v>
      </c>
      <c r="L201" t="s">
        <v>174</v>
      </c>
      <c r="M201" t="s">
        <v>609</v>
      </c>
      <c r="N201" t="s">
        <v>174</v>
      </c>
      <c r="O201" t="s">
        <v>610</v>
      </c>
      <c r="P201" t="s">
        <v>174</v>
      </c>
      <c r="Q201" t="s">
        <v>610</v>
      </c>
      <c r="R201" t="s">
        <v>128</v>
      </c>
      <c r="S201" t="s">
        <v>610</v>
      </c>
      <c r="T201" t="s">
        <v>20</v>
      </c>
      <c r="U201" t="s">
        <v>21</v>
      </c>
      <c r="V201" t="s">
        <v>20</v>
      </c>
      <c r="W201" t="s">
        <v>24</v>
      </c>
      <c r="X201" t="s">
        <v>20</v>
      </c>
      <c r="Y201" t="s">
        <v>19</v>
      </c>
      <c r="Z201" t="s">
        <v>20</v>
      </c>
      <c r="AA201" s="21">
        <v>0.19743179999999999</v>
      </c>
      <c r="AB201" t="s">
        <v>20</v>
      </c>
      <c r="AC201" s="21">
        <v>2.0833330000000001E-2</v>
      </c>
      <c r="AD201" t="s">
        <v>20</v>
      </c>
      <c r="AE201" s="21">
        <v>0.78812199999999999</v>
      </c>
      <c r="AF201" t="s">
        <v>20</v>
      </c>
      <c r="AG201" s="21">
        <v>0.2096354</v>
      </c>
      <c r="AJ201" t="str">
        <f>VLOOKUP(Sheet1!W201,'알람 범위'!$D$2:$F$45,3,FALSE)</f>
        <v>30000</v>
      </c>
      <c r="AK201">
        <v>6</v>
      </c>
      <c r="AL201">
        <f t="shared" si="82"/>
        <v>30006</v>
      </c>
      <c r="AM201" t="str">
        <f t="shared" si="56"/>
        <v>CO_MAIN_ELECTRONICBOX_TEMPERATURE_DISCONNECTED</v>
      </c>
    </row>
    <row r="202" spans="1:39" x14ac:dyDescent="0.3">
      <c r="A202">
        <f t="shared" ref="A202" si="83">AL202</f>
        <v>30007</v>
      </c>
      <c r="B202" t="s">
        <v>20</v>
      </c>
      <c r="C202" t="s">
        <v>1015</v>
      </c>
      <c r="D202" t="s">
        <v>128</v>
      </c>
      <c r="E202" t="s">
        <v>985</v>
      </c>
      <c r="F202" t="s">
        <v>20</v>
      </c>
      <c r="G202" t="s">
        <v>986</v>
      </c>
      <c r="H202" t="s">
        <v>20</v>
      </c>
      <c r="I202" t="s">
        <v>986</v>
      </c>
      <c r="J202" t="s">
        <v>128</v>
      </c>
      <c r="K202" t="s">
        <v>986</v>
      </c>
      <c r="L202" t="s">
        <v>128</v>
      </c>
      <c r="M202" t="s">
        <v>609</v>
      </c>
      <c r="N202" t="s">
        <v>128</v>
      </c>
      <c r="O202" t="s">
        <v>610</v>
      </c>
      <c r="P202" t="s">
        <v>128</v>
      </c>
      <c r="Q202" t="s">
        <v>610</v>
      </c>
      <c r="R202" t="s">
        <v>128</v>
      </c>
      <c r="S202" t="s">
        <v>610</v>
      </c>
      <c r="T202" t="s">
        <v>20</v>
      </c>
      <c r="U202" t="s">
        <v>21</v>
      </c>
      <c r="V202" t="s">
        <v>20</v>
      </c>
      <c r="W202" t="s">
        <v>24</v>
      </c>
      <c r="X202" t="s">
        <v>20</v>
      </c>
      <c r="Y202" t="s">
        <v>19</v>
      </c>
      <c r="Z202" t="s">
        <v>20</v>
      </c>
      <c r="AA202" s="21">
        <v>0.48635630000000002</v>
      </c>
      <c r="AB202" t="s">
        <v>20</v>
      </c>
      <c r="AC202" s="21">
        <v>0.74609380000000003</v>
      </c>
      <c r="AD202" t="s">
        <v>20</v>
      </c>
      <c r="AE202" s="21">
        <v>0.2375602</v>
      </c>
      <c r="AF202" t="s">
        <v>20</v>
      </c>
      <c r="AG202" s="21">
        <v>0.2526042</v>
      </c>
      <c r="AJ202" t="str">
        <f>VLOOKUP(Sheet1!W202,'알람 범위'!$D$2:$F$45,3,FALSE)</f>
        <v>30000</v>
      </c>
      <c r="AK202">
        <v>7</v>
      </c>
      <c r="AL202">
        <f t="shared" ref="AL202" si="84">AJ202+AK202</f>
        <v>30007</v>
      </c>
      <c r="AM202" t="str">
        <f t="shared" si="56"/>
        <v>CO_MAIN_PCRACK_TEMPERATURE_DISCONNECTED</v>
      </c>
    </row>
    <row r="203" spans="1:39" x14ac:dyDescent="0.3">
      <c r="A203">
        <f t="shared" si="52"/>
        <v>30008</v>
      </c>
      <c r="B203" t="s">
        <v>20</v>
      </c>
      <c r="C203" t="s">
        <v>943</v>
      </c>
      <c r="D203" t="s">
        <v>128</v>
      </c>
      <c r="E203" t="s">
        <v>944</v>
      </c>
      <c r="F203" t="s">
        <v>20</v>
      </c>
      <c r="G203" t="s">
        <v>945</v>
      </c>
      <c r="H203" t="s">
        <v>20</v>
      </c>
      <c r="I203" t="s">
        <v>945</v>
      </c>
      <c r="J203" t="s">
        <v>174</v>
      </c>
      <c r="K203" s="19" t="s">
        <v>946</v>
      </c>
      <c r="L203" t="s">
        <v>174</v>
      </c>
      <c r="M203" t="s">
        <v>947</v>
      </c>
      <c r="N203" t="s">
        <v>174</v>
      </c>
      <c r="O203" t="s">
        <v>948</v>
      </c>
      <c r="P203" t="s">
        <v>174</v>
      </c>
      <c r="Q203" t="s">
        <v>948</v>
      </c>
      <c r="R203" t="s">
        <v>128</v>
      </c>
      <c r="S203" t="s">
        <v>949</v>
      </c>
      <c r="T203" t="s">
        <v>20</v>
      </c>
      <c r="U203" t="s">
        <v>21</v>
      </c>
      <c r="V203" t="s">
        <v>20</v>
      </c>
      <c r="W203" t="s">
        <v>24</v>
      </c>
      <c r="X203" t="s">
        <v>20</v>
      </c>
      <c r="Y203" t="s">
        <v>19</v>
      </c>
      <c r="Z203" t="s">
        <v>20</v>
      </c>
      <c r="AA203" s="21">
        <v>0</v>
      </c>
      <c r="AB203" t="s">
        <v>20</v>
      </c>
      <c r="AC203" s="21">
        <v>0</v>
      </c>
      <c r="AD203" t="s">
        <v>20</v>
      </c>
      <c r="AE203" s="21">
        <v>0</v>
      </c>
      <c r="AF203" t="s">
        <v>20</v>
      </c>
      <c r="AG203" s="21">
        <v>0</v>
      </c>
      <c r="AJ203" t="str">
        <f>VLOOKUP(Sheet1!W203,'알람 범위'!$D$2:$F$45,3,FALSE)</f>
        <v>30000</v>
      </c>
      <c r="AK203">
        <v>8</v>
      </c>
      <c r="AL203">
        <f t="shared" si="53"/>
        <v>30008</v>
      </c>
      <c r="AM203" t="str">
        <f t="shared" si="56"/>
        <v>OP_MAIN_MODEKEY_N_TEACH</v>
      </c>
    </row>
    <row r="204" spans="1:39" x14ac:dyDescent="0.3">
      <c r="A204">
        <f t="shared" si="52"/>
        <v>30009</v>
      </c>
      <c r="B204" t="s">
        <v>20</v>
      </c>
      <c r="C204" t="s">
        <v>284</v>
      </c>
      <c r="D204" t="s">
        <v>128</v>
      </c>
      <c r="E204" t="s">
        <v>144</v>
      </c>
      <c r="F204" t="s">
        <v>20</v>
      </c>
      <c r="G204" t="s">
        <v>176</v>
      </c>
      <c r="H204" t="s">
        <v>20</v>
      </c>
      <c r="I204" t="s">
        <v>177</v>
      </c>
      <c r="J204" t="s">
        <v>174</v>
      </c>
      <c r="K204" t="s">
        <v>177</v>
      </c>
      <c r="L204" t="s">
        <v>174</v>
      </c>
      <c r="M204" t="s">
        <v>198</v>
      </c>
      <c r="N204" t="s">
        <v>174</v>
      </c>
      <c r="O204" t="s">
        <v>139</v>
      </c>
      <c r="P204" t="s">
        <v>174</v>
      </c>
      <c r="Q204" t="s">
        <v>139</v>
      </c>
      <c r="R204" t="s">
        <v>174</v>
      </c>
      <c r="S204" t="s">
        <v>139</v>
      </c>
      <c r="T204" t="s">
        <v>20</v>
      </c>
      <c r="U204" t="s">
        <v>21</v>
      </c>
      <c r="V204" t="s">
        <v>20</v>
      </c>
      <c r="W204" t="s">
        <v>24</v>
      </c>
      <c r="X204" t="s">
        <v>20</v>
      </c>
      <c r="Y204" t="s">
        <v>19</v>
      </c>
      <c r="Z204" t="s">
        <v>20</v>
      </c>
      <c r="AA204" s="21">
        <v>0</v>
      </c>
      <c r="AB204" t="s">
        <v>20</v>
      </c>
      <c r="AC204" s="21">
        <v>0</v>
      </c>
      <c r="AD204" t="s">
        <v>20</v>
      </c>
      <c r="AE204" s="21">
        <v>0</v>
      </c>
      <c r="AF204" t="s">
        <v>20</v>
      </c>
      <c r="AG204" s="21">
        <v>0</v>
      </c>
      <c r="AJ204" t="str">
        <f>VLOOKUP(Sheet1!W204,'알람 범위'!$D$2:$F$45,3,FALSE)</f>
        <v>30000</v>
      </c>
      <c r="AK204">
        <v>9</v>
      </c>
      <c r="AL204">
        <f t="shared" si="53"/>
        <v>30009</v>
      </c>
      <c r="AM204" t="str">
        <f t="shared" si="56"/>
        <v>OP_MAIN_UNIT_ALL_STOP</v>
      </c>
    </row>
    <row r="205" spans="1:39" x14ac:dyDescent="0.3">
      <c r="A205">
        <f t="shared" si="52"/>
        <v>30010</v>
      </c>
      <c r="B205" t="s">
        <v>20</v>
      </c>
      <c r="C205" t="s">
        <v>950</v>
      </c>
      <c r="D205" t="s">
        <v>174</v>
      </c>
      <c r="E205" t="s">
        <v>951</v>
      </c>
      <c r="F205" t="s">
        <v>20</v>
      </c>
      <c r="G205" t="s">
        <v>952</v>
      </c>
      <c r="H205" t="s">
        <v>20</v>
      </c>
      <c r="I205" t="s">
        <v>952</v>
      </c>
      <c r="J205" t="s">
        <v>174</v>
      </c>
      <c r="K205" s="19" t="s">
        <v>956</v>
      </c>
      <c r="L205" t="s">
        <v>174</v>
      </c>
      <c r="M205" t="s">
        <v>958</v>
      </c>
      <c r="N205" t="s">
        <v>128</v>
      </c>
      <c r="O205" t="s">
        <v>960</v>
      </c>
      <c r="P205" t="s">
        <v>174</v>
      </c>
      <c r="Q205" t="s">
        <v>960</v>
      </c>
      <c r="R205" t="s">
        <v>174</v>
      </c>
      <c r="S205" t="s">
        <v>962</v>
      </c>
      <c r="T205" t="s">
        <v>20</v>
      </c>
      <c r="U205" t="s">
        <v>21</v>
      </c>
      <c r="V205" t="s">
        <v>20</v>
      </c>
      <c r="W205" t="s">
        <v>24</v>
      </c>
      <c r="X205" t="s">
        <v>20</v>
      </c>
      <c r="Y205" t="s">
        <v>19</v>
      </c>
      <c r="Z205" t="s">
        <v>20</v>
      </c>
      <c r="AA205" s="21">
        <v>0</v>
      </c>
      <c r="AB205" t="s">
        <v>20</v>
      </c>
      <c r="AC205" s="21">
        <v>0</v>
      </c>
      <c r="AD205" t="s">
        <v>20</v>
      </c>
      <c r="AE205" s="21">
        <v>0</v>
      </c>
      <c r="AF205" t="s">
        <v>20</v>
      </c>
      <c r="AG205" s="21">
        <v>0</v>
      </c>
      <c r="AJ205" t="str">
        <f>VLOOKUP(Sheet1!W205,'알람 범위'!$D$2:$F$45,3,FALSE)</f>
        <v>30000</v>
      </c>
      <c r="AK205">
        <v>10</v>
      </c>
      <c r="AL205">
        <f t="shared" si="53"/>
        <v>30010</v>
      </c>
      <c r="AM205" t="str">
        <f t="shared" si="56"/>
        <v>VC_MAIN_VACUUM_MAIN_SUPPLY</v>
      </c>
    </row>
    <row r="206" spans="1:39" x14ac:dyDescent="0.3">
      <c r="A206">
        <f t="shared" ref="A206" si="85">AL206</f>
        <v>30011</v>
      </c>
      <c r="B206" t="s">
        <v>20</v>
      </c>
      <c r="C206" t="s">
        <v>953</v>
      </c>
      <c r="D206" t="s">
        <v>174</v>
      </c>
      <c r="E206" t="s">
        <v>954</v>
      </c>
      <c r="F206" t="s">
        <v>20</v>
      </c>
      <c r="G206" t="s">
        <v>955</v>
      </c>
      <c r="H206" t="s">
        <v>20</v>
      </c>
      <c r="I206" t="s">
        <v>955</v>
      </c>
      <c r="J206" t="s">
        <v>174</v>
      </c>
      <c r="K206" s="19" t="s">
        <v>957</v>
      </c>
      <c r="L206" t="s">
        <v>174</v>
      </c>
      <c r="M206" t="s">
        <v>959</v>
      </c>
      <c r="N206" t="s">
        <v>128</v>
      </c>
      <c r="O206" t="s">
        <v>961</v>
      </c>
      <c r="P206" t="s">
        <v>174</v>
      </c>
      <c r="Q206" t="s">
        <v>961</v>
      </c>
      <c r="R206" t="s">
        <v>174</v>
      </c>
      <c r="S206" t="s">
        <v>963</v>
      </c>
      <c r="T206" t="s">
        <v>20</v>
      </c>
      <c r="U206" t="s">
        <v>21</v>
      </c>
      <c r="V206" t="s">
        <v>20</v>
      </c>
      <c r="W206" t="s">
        <v>24</v>
      </c>
      <c r="X206" t="s">
        <v>20</v>
      </c>
      <c r="Y206" t="s">
        <v>19</v>
      </c>
      <c r="Z206" t="s">
        <v>20</v>
      </c>
      <c r="AA206" s="21">
        <v>0</v>
      </c>
      <c r="AB206" t="s">
        <v>20</v>
      </c>
      <c r="AC206" s="21">
        <v>0</v>
      </c>
      <c r="AD206" t="s">
        <v>20</v>
      </c>
      <c r="AE206" s="21">
        <v>0</v>
      </c>
      <c r="AF206" t="s">
        <v>20</v>
      </c>
      <c r="AG206" s="21">
        <v>0</v>
      </c>
      <c r="AJ206" t="str">
        <f>VLOOKUP(Sheet1!W206,'알람 범위'!$D$2:$F$45,3,FALSE)</f>
        <v>30000</v>
      </c>
      <c r="AK206">
        <v>11</v>
      </c>
      <c r="AL206">
        <f t="shared" ref="AL206" si="86">AJ206+AK206</f>
        <v>30011</v>
      </c>
      <c r="AM206" t="str">
        <f t="shared" si="56"/>
        <v>VC_INSP_STAGE_VACUUM_MAIN_SUPPLY</v>
      </c>
    </row>
    <row r="207" spans="1:39" x14ac:dyDescent="0.3">
      <c r="A207">
        <f t="shared" si="52"/>
        <v>30012</v>
      </c>
      <c r="B207" t="s">
        <v>20</v>
      </c>
      <c r="C207" t="s">
        <v>107</v>
      </c>
      <c r="D207" t="s">
        <v>128</v>
      </c>
      <c r="E207" t="s">
        <v>178</v>
      </c>
      <c r="F207" t="s">
        <v>20</v>
      </c>
      <c r="G207" t="s">
        <v>68</v>
      </c>
      <c r="H207" t="s">
        <v>20</v>
      </c>
      <c r="I207" t="s">
        <v>68</v>
      </c>
      <c r="J207" t="s">
        <v>174</v>
      </c>
      <c r="K207" s="19" t="s">
        <v>73</v>
      </c>
      <c r="L207" t="s">
        <v>128</v>
      </c>
      <c r="M207" t="s">
        <v>199</v>
      </c>
      <c r="N207" t="s">
        <v>174</v>
      </c>
      <c r="O207" t="s">
        <v>179</v>
      </c>
      <c r="P207" t="s">
        <v>174</v>
      </c>
      <c r="Q207" t="s">
        <v>179</v>
      </c>
      <c r="R207" t="s">
        <v>174</v>
      </c>
      <c r="S207" t="s">
        <v>71</v>
      </c>
      <c r="T207" t="s">
        <v>20</v>
      </c>
      <c r="U207" t="s">
        <v>21</v>
      </c>
      <c r="V207" t="s">
        <v>20</v>
      </c>
      <c r="W207" t="s">
        <v>24</v>
      </c>
      <c r="X207" t="s">
        <v>20</v>
      </c>
      <c r="Y207" t="s">
        <v>19</v>
      </c>
      <c r="Z207" t="s">
        <v>20</v>
      </c>
      <c r="AA207" s="21">
        <v>0</v>
      </c>
      <c r="AB207" t="s">
        <v>20</v>
      </c>
      <c r="AC207" s="21">
        <v>0</v>
      </c>
      <c r="AD207" t="s">
        <v>20</v>
      </c>
      <c r="AE207" s="21">
        <v>0</v>
      </c>
      <c r="AF207" t="s">
        <v>20</v>
      </c>
      <c r="AG207" s="21">
        <v>0</v>
      </c>
      <c r="AJ207" t="str">
        <f>VLOOKUP(Sheet1!W207,'알람 범위'!$D$2:$F$45,3,FALSE)</f>
        <v>30000</v>
      </c>
      <c r="AK207">
        <v>12</v>
      </c>
      <c r="AL207">
        <f t="shared" si="53"/>
        <v>30012</v>
      </c>
      <c r="AM207" t="str">
        <f t="shared" si="56"/>
        <v>VC_MAIN_AIR_MAIN_N_SUPPLY</v>
      </c>
    </row>
    <row r="208" spans="1:39" x14ac:dyDescent="0.3">
      <c r="A208">
        <f t="shared" si="52"/>
        <v>30013</v>
      </c>
      <c r="B208" t="s">
        <v>20</v>
      </c>
      <c r="C208" t="s">
        <v>964</v>
      </c>
      <c r="D208" t="s">
        <v>128</v>
      </c>
      <c r="E208" t="s">
        <v>966</v>
      </c>
      <c r="F208" t="str">
        <f>D208</f>
        <v>,</v>
      </c>
      <c r="G208" t="s">
        <v>968</v>
      </c>
      <c r="H208" t="str">
        <f>D208</f>
        <v>,</v>
      </c>
      <c r="I208" t="s">
        <v>968</v>
      </c>
      <c r="J208" t="str">
        <f>F208</f>
        <v>,</v>
      </c>
      <c r="K208" s="19" t="s">
        <v>970</v>
      </c>
      <c r="L208" t="str">
        <f>H208</f>
        <v>,</v>
      </c>
      <c r="M208" t="s">
        <v>972</v>
      </c>
      <c r="N208" t="s">
        <v>20</v>
      </c>
      <c r="O208" t="s">
        <v>974</v>
      </c>
      <c r="P208" t="s">
        <v>20</v>
      </c>
      <c r="Q208" t="s">
        <v>974</v>
      </c>
      <c r="R208" t="s">
        <v>20</v>
      </c>
      <c r="S208" t="s">
        <v>976</v>
      </c>
      <c r="T208" t="str">
        <f>P208</f>
        <v>,</v>
      </c>
      <c r="U208" t="s">
        <v>200</v>
      </c>
      <c r="V208" t="str">
        <f>R208</f>
        <v>,</v>
      </c>
      <c r="W208" t="s">
        <v>24</v>
      </c>
      <c r="X208" t="s">
        <v>20</v>
      </c>
      <c r="Y208" t="s">
        <v>19</v>
      </c>
      <c r="Z208" t="s">
        <v>20</v>
      </c>
      <c r="AA208" s="21">
        <v>0.20064199999999999</v>
      </c>
      <c r="AB208" t="s">
        <v>20</v>
      </c>
      <c r="AC208" s="21">
        <v>2.0833330000000001E-2</v>
      </c>
      <c r="AD208" t="s">
        <v>20</v>
      </c>
      <c r="AE208" s="21">
        <v>0.78170139999999999</v>
      </c>
      <c r="AF208" t="s">
        <v>20</v>
      </c>
      <c r="AG208" s="21">
        <v>4.8177079999999997E-2</v>
      </c>
      <c r="AJ208" t="str">
        <f>VLOOKUP(Sheet1!W208,'알람 범위'!$D$2:$F$45,3,FALSE)</f>
        <v>30000</v>
      </c>
      <c r="AK208">
        <v>13</v>
      </c>
      <c r="AL208">
        <f t="shared" si="53"/>
        <v>30013</v>
      </c>
      <c r="AM208" t="str">
        <f t="shared" si="56"/>
        <v>UT_MAIN_ELECTRONICBOX_FAN_1_STOP</v>
      </c>
    </row>
    <row r="209" spans="1:39" x14ac:dyDescent="0.3">
      <c r="A209">
        <f t="shared" si="52"/>
        <v>30014</v>
      </c>
      <c r="B209" t="s">
        <v>20</v>
      </c>
      <c r="C209" t="s">
        <v>965</v>
      </c>
      <c r="D209" t="s">
        <v>128</v>
      </c>
      <c r="E209" t="s">
        <v>967</v>
      </c>
      <c r="F209" t="str">
        <f>D209</f>
        <v>,</v>
      </c>
      <c r="G209" t="s">
        <v>969</v>
      </c>
      <c r="H209" t="str">
        <f>D209</f>
        <v>,</v>
      </c>
      <c r="I209" t="s">
        <v>969</v>
      </c>
      <c r="J209" t="str">
        <f>F209</f>
        <v>,</v>
      </c>
      <c r="K209" s="19" t="s">
        <v>971</v>
      </c>
      <c r="L209" t="str">
        <f>H209</f>
        <v>,</v>
      </c>
      <c r="M209" t="s">
        <v>973</v>
      </c>
      <c r="N209" t="s">
        <v>20</v>
      </c>
      <c r="O209" t="s">
        <v>975</v>
      </c>
      <c r="P209" t="s">
        <v>20</v>
      </c>
      <c r="Q209" t="s">
        <v>975</v>
      </c>
      <c r="R209" t="s">
        <v>20</v>
      </c>
      <c r="S209" t="s">
        <v>977</v>
      </c>
      <c r="T209" t="str">
        <f>P209</f>
        <v>,</v>
      </c>
      <c r="U209" t="s">
        <v>145</v>
      </c>
      <c r="V209" t="str">
        <f>R209</f>
        <v>,</v>
      </c>
      <c r="W209" t="s">
        <v>24</v>
      </c>
      <c r="X209" t="s">
        <v>20</v>
      </c>
      <c r="Y209" t="s">
        <v>19</v>
      </c>
      <c r="Z209" t="s">
        <v>20</v>
      </c>
      <c r="AA209" s="21">
        <v>0.20064199999999999</v>
      </c>
      <c r="AB209" t="s">
        <v>20</v>
      </c>
      <c r="AC209" s="21">
        <v>2.0833330000000001E-2</v>
      </c>
      <c r="AD209" t="s">
        <v>20</v>
      </c>
      <c r="AE209" s="21">
        <v>0.78170139999999999</v>
      </c>
      <c r="AF209" t="s">
        <v>20</v>
      </c>
      <c r="AG209" s="21">
        <v>4.8177079999999997E-2</v>
      </c>
      <c r="AJ209" t="str">
        <f>VLOOKUP(Sheet1!W209,'알람 범위'!$D$2:$F$45,3,FALSE)</f>
        <v>30000</v>
      </c>
      <c r="AK209">
        <v>14</v>
      </c>
      <c r="AL209">
        <f t="shared" si="53"/>
        <v>30014</v>
      </c>
      <c r="AM209" t="str">
        <f t="shared" si="56"/>
        <v>UT_MAIN_ELECTRONICBOX_FAN_2_STOP</v>
      </c>
    </row>
    <row r="210" spans="1:39" x14ac:dyDescent="0.3">
      <c r="A210">
        <f t="shared" ref="A210:A223" si="87">AL210</f>
        <v>30015</v>
      </c>
      <c r="B210" t="s">
        <v>20</v>
      </c>
      <c r="C210" t="s">
        <v>236</v>
      </c>
      <c r="D210" t="s">
        <v>20</v>
      </c>
      <c r="E210" t="s">
        <v>277</v>
      </c>
      <c r="F210" t="s">
        <v>20</v>
      </c>
      <c r="G210" t="s">
        <v>237</v>
      </c>
      <c r="H210" t="s">
        <v>20</v>
      </c>
      <c r="I210" t="s">
        <v>237</v>
      </c>
      <c r="J210" t="s">
        <v>20</v>
      </c>
      <c r="K210" t="s">
        <v>237</v>
      </c>
      <c r="L210" t="s">
        <v>20</v>
      </c>
      <c r="M210" t="s">
        <v>238</v>
      </c>
      <c r="N210" t="s">
        <v>20</v>
      </c>
      <c r="O210" t="s">
        <v>239</v>
      </c>
      <c r="P210" t="s">
        <v>20</v>
      </c>
      <c r="Q210" t="s">
        <v>239</v>
      </c>
      <c r="R210" t="s">
        <v>20</v>
      </c>
      <c r="S210" t="s">
        <v>239</v>
      </c>
      <c r="T210" t="s">
        <v>20</v>
      </c>
      <c r="U210" t="s">
        <v>145</v>
      </c>
      <c r="V210" t="s">
        <v>20</v>
      </c>
      <c r="W210" t="s">
        <v>24</v>
      </c>
      <c r="X210" t="s">
        <v>20</v>
      </c>
      <c r="Y210" t="s">
        <v>19</v>
      </c>
      <c r="Z210" t="s">
        <v>20</v>
      </c>
      <c r="AA210" s="21">
        <v>0.35152489999999997</v>
      </c>
      <c r="AB210" t="s">
        <v>20</v>
      </c>
      <c r="AC210" s="21">
        <v>0.36588540000000003</v>
      </c>
      <c r="AD210" t="s">
        <v>20</v>
      </c>
      <c r="AE210" s="21">
        <v>0.51685389999999998</v>
      </c>
      <c r="AF210" t="s">
        <v>20</v>
      </c>
      <c r="AG210" s="21">
        <v>0.2604167</v>
      </c>
      <c r="AJ210" t="str">
        <f>VLOOKUP(Sheet1!W210,'알람 범위'!$D$2:$F$45,3,FALSE)</f>
        <v>30000</v>
      </c>
      <c r="AK210">
        <v>15</v>
      </c>
      <c r="AL210">
        <f t="shared" ref="AL210:AL211" si="88">AJ210+AK210</f>
        <v>30015</v>
      </c>
      <c r="AM210" t="str">
        <f t="shared" si="56"/>
        <v>UT_MAIN_MCU_FFU_1_STOP</v>
      </c>
    </row>
    <row r="211" spans="1:39" x14ac:dyDescent="0.3">
      <c r="A211">
        <f t="shared" si="87"/>
        <v>30016</v>
      </c>
      <c r="B211" t="s">
        <v>20</v>
      </c>
      <c r="C211" t="s">
        <v>285</v>
      </c>
      <c r="D211" t="s">
        <v>20</v>
      </c>
      <c r="E211" t="s">
        <v>240</v>
      </c>
      <c r="F211" t="s">
        <v>20</v>
      </c>
      <c r="G211" t="s">
        <v>241</v>
      </c>
      <c r="H211" t="s">
        <v>20</v>
      </c>
      <c r="I211" t="s">
        <v>241</v>
      </c>
      <c r="J211" t="s">
        <v>20</v>
      </c>
      <c r="K211" t="s">
        <v>241</v>
      </c>
      <c r="L211" t="s">
        <v>20</v>
      </c>
      <c r="M211" t="s">
        <v>238</v>
      </c>
      <c r="N211" t="s">
        <v>20</v>
      </c>
      <c r="O211" t="s">
        <v>239</v>
      </c>
      <c r="P211" t="s">
        <v>20</v>
      </c>
      <c r="Q211" t="s">
        <v>239</v>
      </c>
      <c r="R211" t="s">
        <v>20</v>
      </c>
      <c r="S211" t="s">
        <v>239</v>
      </c>
      <c r="T211" t="s">
        <v>20</v>
      </c>
      <c r="U211" t="s">
        <v>145</v>
      </c>
      <c r="V211" t="s">
        <v>20</v>
      </c>
      <c r="W211" t="s">
        <v>24</v>
      </c>
      <c r="X211" t="s">
        <v>20</v>
      </c>
      <c r="Y211" t="s">
        <v>19</v>
      </c>
      <c r="Z211" t="s">
        <v>20</v>
      </c>
      <c r="AA211" s="21">
        <v>0.35152489999999997</v>
      </c>
      <c r="AB211" t="s">
        <v>20</v>
      </c>
      <c r="AC211" s="21">
        <v>0.36588540000000003</v>
      </c>
      <c r="AD211" t="s">
        <v>20</v>
      </c>
      <c r="AE211" s="21">
        <v>0.51685389999999998</v>
      </c>
      <c r="AF211" t="s">
        <v>20</v>
      </c>
      <c r="AG211" s="21">
        <v>0.2604167</v>
      </c>
      <c r="AJ211" t="str">
        <f>VLOOKUP(Sheet1!W211,'알람 범위'!$D$2:$F$45,3,FALSE)</f>
        <v>30000</v>
      </c>
      <c r="AK211">
        <v>16</v>
      </c>
      <c r="AL211">
        <f t="shared" si="88"/>
        <v>30016</v>
      </c>
      <c r="AM211" t="str">
        <f t="shared" si="56"/>
        <v>UT_MAIN_MCU_FFU_1_ALARM_OCCURRED</v>
      </c>
    </row>
    <row r="212" spans="1:39" x14ac:dyDescent="0.3">
      <c r="A212">
        <f t="shared" si="87"/>
        <v>30100</v>
      </c>
      <c r="B212" t="s">
        <v>20</v>
      </c>
      <c r="C212" t="s">
        <v>978</v>
      </c>
      <c r="D212" t="s">
        <v>174</v>
      </c>
      <c r="E212" t="s">
        <v>793</v>
      </c>
      <c r="F212" t="str">
        <f t="shared" ref="F212:F219" si="89">D212</f>
        <v>,</v>
      </c>
      <c r="G212" t="s">
        <v>403</v>
      </c>
      <c r="H212" t="str">
        <f t="shared" ref="H212:H219" si="90">D212</f>
        <v>,</v>
      </c>
      <c r="I212" t="s">
        <v>403</v>
      </c>
      <c r="J212" t="str">
        <f t="shared" ref="J212:J219" si="91">F212</f>
        <v>,</v>
      </c>
      <c r="K212" t="s">
        <v>403</v>
      </c>
      <c r="L212" t="str">
        <f t="shared" ref="L212:L219" si="92">H212</f>
        <v>,</v>
      </c>
      <c r="M212" t="s">
        <v>175</v>
      </c>
      <c r="N212" t="str">
        <f t="shared" ref="N212:N219" si="93">J212</f>
        <v>,</v>
      </c>
      <c r="O212" t="s">
        <v>23</v>
      </c>
      <c r="P212" t="str">
        <f t="shared" ref="P212:P219" si="94">L212</f>
        <v>,</v>
      </c>
      <c r="Q212" t="s">
        <v>23</v>
      </c>
      <c r="R212" t="str">
        <f t="shared" ref="R212:R219" si="95">N212</f>
        <v>,</v>
      </c>
      <c r="S212" t="s">
        <v>70</v>
      </c>
      <c r="T212" t="str">
        <f t="shared" ref="T212:T219" si="96">P212</f>
        <v>,</v>
      </c>
      <c r="U212" t="s">
        <v>95</v>
      </c>
      <c r="V212" t="str">
        <f t="shared" ref="V212:V219" si="97">R212</f>
        <v>,</v>
      </c>
      <c r="W212" t="s">
        <v>24</v>
      </c>
      <c r="X212" t="s">
        <v>20</v>
      </c>
      <c r="Y212" t="s">
        <v>19</v>
      </c>
      <c r="Z212" t="s">
        <v>20</v>
      </c>
      <c r="AA212" s="21">
        <v>0.69662919999999995</v>
      </c>
      <c r="AB212" t="s">
        <v>20</v>
      </c>
      <c r="AC212" s="21">
        <v>0.90104169999999995</v>
      </c>
      <c r="AD212" t="s">
        <v>20</v>
      </c>
      <c r="AE212" s="21">
        <v>0.25200640000000002</v>
      </c>
      <c r="AF212" t="s">
        <v>20</v>
      </c>
      <c r="AG212" s="21">
        <v>8.984375E-2</v>
      </c>
      <c r="AJ212" t="str">
        <f>VLOOKUP(Sheet1!W212,'알람 범위'!$D$2:$F$45,3,FALSE)</f>
        <v>30000</v>
      </c>
      <c r="AK212">
        <v>100</v>
      </c>
      <c r="AL212">
        <f t="shared" ref="AL212:AL220" si="98">AJ212+AK212</f>
        <v>30100</v>
      </c>
      <c r="AM212" t="str">
        <f t="shared" si="56"/>
        <v>EM_MAIN_CONTROLPANEL_FRONT_EMS_X000</v>
      </c>
    </row>
    <row r="213" spans="1:39" x14ac:dyDescent="0.3">
      <c r="A213">
        <f t="shared" si="87"/>
        <v>30101</v>
      </c>
      <c r="B213" t="s">
        <v>20</v>
      </c>
      <c r="C213" t="s">
        <v>979</v>
      </c>
      <c r="D213" t="s">
        <v>201</v>
      </c>
      <c r="E213" t="s">
        <v>794</v>
      </c>
      <c r="F213" t="str">
        <f t="shared" si="89"/>
        <v>,</v>
      </c>
      <c r="G213" t="s">
        <v>404</v>
      </c>
      <c r="H213" t="str">
        <f t="shared" si="90"/>
        <v>,</v>
      </c>
      <c r="I213" t="s">
        <v>404</v>
      </c>
      <c r="J213" t="str">
        <f t="shared" si="91"/>
        <v>,</v>
      </c>
      <c r="K213" t="s">
        <v>404</v>
      </c>
      <c r="L213" t="str">
        <f t="shared" si="92"/>
        <v>,</v>
      </c>
      <c r="M213" t="s">
        <v>175</v>
      </c>
      <c r="N213" t="str">
        <f t="shared" si="93"/>
        <v>,</v>
      </c>
      <c r="O213" t="s">
        <v>276</v>
      </c>
      <c r="P213" t="str">
        <f t="shared" si="94"/>
        <v>,</v>
      </c>
      <c r="Q213" t="s">
        <v>276</v>
      </c>
      <c r="R213" t="str">
        <f t="shared" si="95"/>
        <v>,</v>
      </c>
      <c r="S213" t="s">
        <v>70</v>
      </c>
      <c r="T213" t="str">
        <f t="shared" si="96"/>
        <v>,</v>
      </c>
      <c r="U213" t="s">
        <v>95</v>
      </c>
      <c r="V213" t="str">
        <f t="shared" si="97"/>
        <v>,</v>
      </c>
      <c r="W213" t="s">
        <v>24</v>
      </c>
      <c r="X213" t="s">
        <v>20</v>
      </c>
      <c r="Y213" t="s">
        <v>19</v>
      </c>
      <c r="Z213" t="s">
        <v>20</v>
      </c>
      <c r="AA213" s="21">
        <v>0.19582659999999999</v>
      </c>
      <c r="AB213" t="s">
        <v>20</v>
      </c>
      <c r="AC213" s="21">
        <v>9.1145830000000008E-3</v>
      </c>
      <c r="AD213" t="s">
        <v>20</v>
      </c>
      <c r="AE213" s="21">
        <v>0.26163720000000001</v>
      </c>
      <c r="AF213" t="s">
        <v>20</v>
      </c>
      <c r="AG213" s="21">
        <v>9.6354159999999994E-2</v>
      </c>
      <c r="AJ213" t="str">
        <f>VLOOKUP(Sheet1!W213,'알람 범위'!$D$2:$F$45,3,FALSE)</f>
        <v>30000</v>
      </c>
      <c r="AK213">
        <v>101</v>
      </c>
      <c r="AL213">
        <f t="shared" si="98"/>
        <v>30101</v>
      </c>
      <c r="AM213" t="str">
        <f t="shared" si="56"/>
        <v>EM_MAIN_CONTROLPANEL_REAR_EMS_X001</v>
      </c>
    </row>
    <row r="214" spans="1:39" x14ac:dyDescent="0.3">
      <c r="A214">
        <f t="shared" si="87"/>
        <v>30102</v>
      </c>
      <c r="B214" t="s">
        <v>20</v>
      </c>
      <c r="C214" t="s">
        <v>286</v>
      </c>
      <c r="D214" t="s">
        <v>128</v>
      </c>
      <c r="E214" t="s">
        <v>248</v>
      </c>
      <c r="F214" t="str">
        <f t="shared" si="89"/>
        <v>,</v>
      </c>
      <c r="G214" t="s">
        <v>250</v>
      </c>
      <c r="H214" t="str">
        <f t="shared" si="90"/>
        <v>,</v>
      </c>
      <c r="I214" t="s">
        <v>250</v>
      </c>
      <c r="J214" t="str">
        <f t="shared" si="91"/>
        <v>,</v>
      </c>
      <c r="K214" t="s">
        <v>250</v>
      </c>
      <c r="L214" t="str">
        <f t="shared" si="92"/>
        <v>,</v>
      </c>
      <c r="M214" t="s">
        <v>245</v>
      </c>
      <c r="N214" t="str">
        <f t="shared" si="93"/>
        <v>,</v>
      </c>
      <c r="O214" t="s">
        <v>23</v>
      </c>
      <c r="P214" t="str">
        <f t="shared" si="94"/>
        <v>,</v>
      </c>
      <c r="Q214" t="s">
        <v>23</v>
      </c>
      <c r="R214" t="str">
        <f t="shared" si="95"/>
        <v>,</v>
      </c>
      <c r="S214" t="s">
        <v>70</v>
      </c>
      <c r="T214" t="str">
        <f t="shared" si="96"/>
        <v>,</v>
      </c>
      <c r="U214" t="s">
        <v>246</v>
      </c>
      <c r="V214" t="str">
        <f t="shared" si="97"/>
        <v>,</v>
      </c>
      <c r="W214" t="s">
        <v>24</v>
      </c>
      <c r="X214" t="s">
        <v>20</v>
      </c>
      <c r="Y214" t="s">
        <v>19</v>
      </c>
      <c r="Z214" t="s">
        <v>20</v>
      </c>
      <c r="AA214">
        <v>0</v>
      </c>
      <c r="AB214" t="s">
        <v>20</v>
      </c>
      <c r="AC214">
        <v>0</v>
      </c>
      <c r="AD214" t="s">
        <v>20</v>
      </c>
      <c r="AE214">
        <v>0</v>
      </c>
      <c r="AF214" t="s">
        <v>20</v>
      </c>
      <c r="AG214">
        <v>0</v>
      </c>
      <c r="AJ214" t="str">
        <f>VLOOKUP(Sheet1!W214,'알람 범위'!$D$2:$F$45,3,FALSE)</f>
        <v>30000</v>
      </c>
      <c r="AK214">
        <v>102</v>
      </c>
      <c r="AL214">
        <f t="shared" si="98"/>
        <v>30102</v>
      </c>
      <c r="AM214" t="str">
        <f t="shared" si="56"/>
        <v>EM_TRANSFER_ROBOT_IN_PENDANT_EMS</v>
      </c>
    </row>
    <row r="215" spans="1:39" x14ac:dyDescent="0.3">
      <c r="A215">
        <f t="shared" si="87"/>
        <v>30103</v>
      </c>
      <c r="B215" t="s">
        <v>20</v>
      </c>
      <c r="C215" t="s">
        <v>405</v>
      </c>
      <c r="D215" t="s">
        <v>247</v>
      </c>
      <c r="E215" t="s">
        <v>249</v>
      </c>
      <c r="F215" t="str">
        <f t="shared" si="89"/>
        <v>,</v>
      </c>
      <c r="G215" t="s">
        <v>251</v>
      </c>
      <c r="H215" t="str">
        <f t="shared" si="90"/>
        <v>,</v>
      </c>
      <c r="I215" t="s">
        <v>251</v>
      </c>
      <c r="J215" t="str">
        <f t="shared" si="91"/>
        <v>,</v>
      </c>
      <c r="K215" t="s">
        <v>251</v>
      </c>
      <c r="L215" t="str">
        <f t="shared" si="92"/>
        <v>,</v>
      </c>
      <c r="M215" t="s">
        <v>175</v>
      </c>
      <c r="N215" t="str">
        <f t="shared" si="93"/>
        <v>,</v>
      </c>
      <c r="O215" t="s">
        <v>23</v>
      </c>
      <c r="P215" t="str">
        <f t="shared" si="94"/>
        <v>,</v>
      </c>
      <c r="Q215" t="s">
        <v>23</v>
      </c>
      <c r="R215" t="str">
        <f t="shared" si="95"/>
        <v>,</v>
      </c>
      <c r="S215" t="s">
        <v>70</v>
      </c>
      <c r="T215" t="str">
        <f t="shared" si="96"/>
        <v>,</v>
      </c>
      <c r="U215" t="s">
        <v>180</v>
      </c>
      <c r="V215" t="str">
        <f t="shared" si="97"/>
        <v>,</v>
      </c>
      <c r="W215" t="s">
        <v>24</v>
      </c>
      <c r="X215" t="s">
        <v>20</v>
      </c>
      <c r="Y215" t="s">
        <v>19</v>
      </c>
      <c r="Z215" t="s">
        <v>20</v>
      </c>
      <c r="AA215">
        <v>0</v>
      </c>
      <c r="AB215" t="s">
        <v>20</v>
      </c>
      <c r="AC215">
        <v>0</v>
      </c>
      <c r="AD215" t="s">
        <v>20</v>
      </c>
      <c r="AE215">
        <v>0</v>
      </c>
      <c r="AF215" t="s">
        <v>20</v>
      </c>
      <c r="AG215">
        <v>0</v>
      </c>
      <c r="AJ215" t="str">
        <f>VLOOKUP(Sheet1!W215,'알람 범위'!$D$2:$F$45,3,FALSE)</f>
        <v>30000</v>
      </c>
      <c r="AK215">
        <v>103</v>
      </c>
      <c r="AL215">
        <f t="shared" si="98"/>
        <v>30103</v>
      </c>
      <c r="AM215" t="str">
        <f t="shared" si="56"/>
        <v>EM_TRANSFER_ROBOT_IN_CONTROLLER_EMS</v>
      </c>
    </row>
    <row r="216" spans="1:39" x14ac:dyDescent="0.3">
      <c r="A216">
        <f t="shared" ref="A216:A217" si="99">AL216</f>
        <v>30104</v>
      </c>
      <c r="B216" t="s">
        <v>20</v>
      </c>
      <c r="C216" t="s">
        <v>387</v>
      </c>
      <c r="D216" t="s">
        <v>128</v>
      </c>
      <c r="E216" t="s">
        <v>399</v>
      </c>
      <c r="F216" t="str">
        <f t="shared" ref="F216:F217" si="100">D216</f>
        <v>,</v>
      </c>
      <c r="G216" t="s">
        <v>401</v>
      </c>
      <c r="H216" t="str">
        <f t="shared" ref="H216:H217" si="101">D216</f>
        <v>,</v>
      </c>
      <c r="I216" t="s">
        <v>401</v>
      </c>
      <c r="J216" t="str">
        <f t="shared" ref="J216:J217" si="102">F216</f>
        <v>,</v>
      </c>
      <c r="K216" t="s">
        <v>401</v>
      </c>
      <c r="L216" t="str">
        <f t="shared" ref="L216:L217" si="103">H216</f>
        <v>,</v>
      </c>
      <c r="M216" t="s">
        <v>175</v>
      </c>
      <c r="N216" t="str">
        <f t="shared" ref="N216:N217" si="104">J216</f>
        <v>,</v>
      </c>
      <c r="O216" t="s">
        <v>23</v>
      </c>
      <c r="P216" t="str">
        <f t="shared" ref="P216:P217" si="105">L216</f>
        <v>,</v>
      </c>
      <c r="Q216" t="s">
        <v>23</v>
      </c>
      <c r="R216" t="str">
        <f t="shared" ref="R216:R217" si="106">N216</f>
        <v>,</v>
      </c>
      <c r="S216" t="s">
        <v>70</v>
      </c>
      <c r="T216" t="str">
        <f t="shared" ref="T216:T217" si="107">P216</f>
        <v>,</v>
      </c>
      <c r="U216" t="s">
        <v>95</v>
      </c>
      <c r="V216" t="str">
        <f t="shared" ref="V216:V217" si="108">R216</f>
        <v>,</v>
      </c>
      <c r="W216" t="s">
        <v>24</v>
      </c>
      <c r="X216" t="s">
        <v>20</v>
      </c>
      <c r="Y216" t="s">
        <v>19</v>
      </c>
      <c r="Z216" t="s">
        <v>20</v>
      </c>
      <c r="AA216">
        <v>0</v>
      </c>
      <c r="AB216" t="s">
        <v>20</v>
      </c>
      <c r="AC216">
        <v>0</v>
      </c>
      <c r="AD216" t="s">
        <v>20</v>
      </c>
      <c r="AE216">
        <v>0</v>
      </c>
      <c r="AF216" t="s">
        <v>20</v>
      </c>
      <c r="AG216">
        <v>0</v>
      </c>
      <c r="AJ216" t="str">
        <f>VLOOKUP(Sheet1!W216,'알람 범위'!$D$2:$F$45,3,FALSE)</f>
        <v>30000</v>
      </c>
      <c r="AK216">
        <v>104</v>
      </c>
      <c r="AL216">
        <f t="shared" ref="AL216:AL217" si="109">AJ216+AK216</f>
        <v>30104</v>
      </c>
      <c r="AM216" t="str">
        <f t="shared" si="56"/>
        <v>EM_TRANSFER_ROBOT_OUT_PENDANT_EMS</v>
      </c>
    </row>
    <row r="217" spans="1:39" x14ac:dyDescent="0.3">
      <c r="A217">
        <f t="shared" si="99"/>
        <v>30105</v>
      </c>
      <c r="B217" t="s">
        <v>20</v>
      </c>
      <c r="C217" t="s">
        <v>388</v>
      </c>
      <c r="D217" t="s">
        <v>128</v>
      </c>
      <c r="E217" t="s">
        <v>400</v>
      </c>
      <c r="F217" t="str">
        <f t="shared" si="100"/>
        <v>,</v>
      </c>
      <c r="G217" t="s">
        <v>402</v>
      </c>
      <c r="H217" t="str">
        <f t="shared" si="101"/>
        <v>,</v>
      </c>
      <c r="I217" t="s">
        <v>402</v>
      </c>
      <c r="J217" t="str">
        <f t="shared" si="102"/>
        <v>,</v>
      </c>
      <c r="K217" t="s">
        <v>402</v>
      </c>
      <c r="L217" t="str">
        <f t="shared" si="103"/>
        <v>,</v>
      </c>
      <c r="M217" t="s">
        <v>175</v>
      </c>
      <c r="N217" t="str">
        <f t="shared" si="104"/>
        <v>,</v>
      </c>
      <c r="O217" t="s">
        <v>23</v>
      </c>
      <c r="P217" t="str">
        <f t="shared" si="105"/>
        <v>,</v>
      </c>
      <c r="Q217" t="s">
        <v>23</v>
      </c>
      <c r="R217" t="str">
        <f t="shared" si="106"/>
        <v>,</v>
      </c>
      <c r="S217" t="s">
        <v>70</v>
      </c>
      <c r="T217" t="str">
        <f t="shared" si="107"/>
        <v>,</v>
      </c>
      <c r="U217" t="s">
        <v>95</v>
      </c>
      <c r="V217" t="str">
        <f t="shared" si="108"/>
        <v>,</v>
      </c>
      <c r="W217" t="s">
        <v>24</v>
      </c>
      <c r="X217" t="s">
        <v>20</v>
      </c>
      <c r="Y217" t="s">
        <v>19</v>
      </c>
      <c r="Z217" t="s">
        <v>20</v>
      </c>
      <c r="AA217">
        <v>0</v>
      </c>
      <c r="AB217" t="s">
        <v>20</v>
      </c>
      <c r="AC217">
        <v>0</v>
      </c>
      <c r="AD217" t="s">
        <v>20</v>
      </c>
      <c r="AE217">
        <v>0</v>
      </c>
      <c r="AF217" t="s">
        <v>20</v>
      </c>
      <c r="AG217">
        <v>0</v>
      </c>
      <c r="AJ217" t="str">
        <f>VLOOKUP(Sheet1!W217,'알람 범위'!$D$2:$F$45,3,FALSE)</f>
        <v>30000</v>
      </c>
      <c r="AK217">
        <v>105</v>
      </c>
      <c r="AL217">
        <f t="shared" si="109"/>
        <v>30105</v>
      </c>
      <c r="AM217" t="str">
        <f t="shared" si="56"/>
        <v>EM_TRANSFER_ROBOT_OUT_CONTROLLER_EMS</v>
      </c>
    </row>
    <row r="218" spans="1:39" x14ac:dyDescent="0.3">
      <c r="A218">
        <f>AL218</f>
        <v>30106</v>
      </c>
      <c r="B218" t="s">
        <v>20</v>
      </c>
      <c r="C218" t="s">
        <v>980</v>
      </c>
      <c r="D218" t="s">
        <v>128</v>
      </c>
      <c r="E218" t="s">
        <v>981</v>
      </c>
      <c r="F218" t="str">
        <f>D218</f>
        <v>,</v>
      </c>
      <c r="G218" t="s">
        <v>982</v>
      </c>
      <c r="H218" t="str">
        <f>D218</f>
        <v>,</v>
      </c>
      <c r="I218" t="s">
        <v>982</v>
      </c>
      <c r="J218" t="str">
        <f>F218</f>
        <v>,</v>
      </c>
      <c r="K218" t="s">
        <v>982</v>
      </c>
      <c r="L218" t="str">
        <f>H218</f>
        <v>,</v>
      </c>
      <c r="M218" t="s">
        <v>202</v>
      </c>
      <c r="N218" t="str">
        <f>J218</f>
        <v>,</v>
      </c>
      <c r="O218" t="s">
        <v>203</v>
      </c>
      <c r="P218" t="str">
        <f>L218</f>
        <v>,</v>
      </c>
      <c r="Q218" t="s">
        <v>146</v>
      </c>
      <c r="R218" t="str">
        <f>N218</f>
        <v>,</v>
      </c>
      <c r="S218" t="s">
        <v>146</v>
      </c>
      <c r="T218" t="str">
        <f>P218</f>
        <v>,</v>
      </c>
      <c r="U218" t="s">
        <v>95</v>
      </c>
      <c r="V218" t="str">
        <f>R218</f>
        <v>,</v>
      </c>
      <c r="W218" t="s">
        <v>24</v>
      </c>
      <c r="X218" t="s">
        <v>20</v>
      </c>
      <c r="Y218" t="s">
        <v>19</v>
      </c>
      <c r="Z218" t="s">
        <v>20</v>
      </c>
      <c r="AA218">
        <v>0</v>
      </c>
      <c r="AB218" t="s">
        <v>20</v>
      </c>
      <c r="AC218">
        <v>0</v>
      </c>
      <c r="AD218" t="s">
        <v>20</v>
      </c>
      <c r="AE218">
        <v>0</v>
      </c>
      <c r="AF218" t="s">
        <v>20</v>
      </c>
      <c r="AG218">
        <v>0</v>
      </c>
      <c r="AJ218" t="str">
        <f>VLOOKUP(Sheet1!W218,'알람 범위'!$D$2:$F$45,3,FALSE)</f>
        <v>30000</v>
      </c>
      <c r="AK218">
        <v>106</v>
      </c>
      <c r="AL218">
        <f>AJ218+AK218</f>
        <v>30106</v>
      </c>
      <c r="AM218" t="str">
        <f t="shared" si="56"/>
        <v>DO_MAIN_ANY_DOOR_FORECE_RELEASED_X02A</v>
      </c>
    </row>
    <row r="219" spans="1:39" x14ac:dyDescent="0.3">
      <c r="A219">
        <f t="shared" si="87"/>
        <v>40000</v>
      </c>
      <c r="B219" t="s">
        <v>20</v>
      </c>
      <c r="C219" t="s">
        <v>287</v>
      </c>
      <c r="D219" t="s">
        <v>204</v>
      </c>
      <c r="E219" t="s">
        <v>181</v>
      </c>
      <c r="F219" t="str">
        <f t="shared" si="89"/>
        <v>,</v>
      </c>
      <c r="G219" t="s">
        <v>137</v>
      </c>
      <c r="H219" t="str">
        <f t="shared" si="90"/>
        <v>,</v>
      </c>
      <c r="I219" t="s">
        <v>137</v>
      </c>
      <c r="J219" t="str">
        <f t="shared" si="91"/>
        <v>,</v>
      </c>
      <c r="K219" t="s">
        <v>137</v>
      </c>
      <c r="L219" t="str">
        <f t="shared" si="92"/>
        <v>,</v>
      </c>
      <c r="M219" t="s">
        <v>205</v>
      </c>
      <c r="N219" t="str">
        <f t="shared" si="93"/>
        <v>,</v>
      </c>
      <c r="O219" t="s">
        <v>138</v>
      </c>
      <c r="P219" t="str">
        <f t="shared" si="94"/>
        <v>,</v>
      </c>
      <c r="Q219" t="s">
        <v>138</v>
      </c>
      <c r="R219" t="str">
        <f t="shared" si="95"/>
        <v>,</v>
      </c>
      <c r="S219" t="s">
        <v>138</v>
      </c>
      <c r="T219" t="str">
        <f t="shared" si="96"/>
        <v>,</v>
      </c>
      <c r="U219" t="s">
        <v>95</v>
      </c>
      <c r="V219" t="str">
        <f t="shared" si="97"/>
        <v>,</v>
      </c>
      <c r="W219" t="s">
        <v>206</v>
      </c>
      <c r="X219" t="s">
        <v>20</v>
      </c>
      <c r="Y219" t="s">
        <v>19</v>
      </c>
      <c r="Z219" t="s">
        <v>20</v>
      </c>
      <c r="AA219">
        <v>0</v>
      </c>
      <c r="AB219" t="s">
        <v>20</v>
      </c>
      <c r="AC219">
        <v>0</v>
      </c>
      <c r="AD219" t="s">
        <v>20</v>
      </c>
      <c r="AE219">
        <v>0</v>
      </c>
      <c r="AF219" t="s">
        <v>20</v>
      </c>
      <c r="AG219">
        <v>0</v>
      </c>
      <c r="AJ219" t="str">
        <f>VLOOKUP(Sheet1!W219,'알람 범위'!$D$2:$F$45,3,FALSE)</f>
        <v>40000</v>
      </c>
      <c r="AK219">
        <v>0</v>
      </c>
      <c r="AL219">
        <f t="shared" si="98"/>
        <v>40000</v>
      </c>
      <c r="AM219" t="str">
        <f t="shared" si="56"/>
        <v>EF_PREFORM4_MAIN_EQUIPMENT_SILENT_STOP</v>
      </c>
    </row>
    <row r="220" spans="1:39" x14ac:dyDescent="0.3">
      <c r="A220">
        <f>AL220</f>
        <v>40001</v>
      </c>
      <c r="B220" t="s">
        <v>20</v>
      </c>
      <c r="C220" t="s">
        <v>389</v>
      </c>
      <c r="D220" t="s">
        <v>20</v>
      </c>
      <c r="E220" t="s">
        <v>392</v>
      </c>
      <c r="F220" t="s">
        <v>20</v>
      </c>
      <c r="G220" t="s">
        <v>396</v>
      </c>
      <c r="H220" t="s">
        <v>20</v>
      </c>
      <c r="I220" t="s">
        <v>396</v>
      </c>
      <c r="J220" t="s">
        <v>20</v>
      </c>
      <c r="K220" t="s">
        <v>396</v>
      </c>
      <c r="L220" t="s">
        <v>20</v>
      </c>
      <c r="M220" t="s">
        <v>242</v>
      </c>
      <c r="N220" t="s">
        <v>20</v>
      </c>
      <c r="O220" t="s">
        <v>243</v>
      </c>
      <c r="P220" t="s">
        <v>20</v>
      </c>
      <c r="Q220" t="s">
        <v>243</v>
      </c>
      <c r="R220" t="s">
        <v>20</v>
      </c>
      <c r="S220" t="s">
        <v>243</v>
      </c>
      <c r="T220" t="s">
        <v>20</v>
      </c>
      <c r="U220" t="s">
        <v>22</v>
      </c>
      <c r="V220" t="s">
        <v>20</v>
      </c>
      <c r="W220" t="s">
        <v>244</v>
      </c>
      <c r="X220" t="s">
        <v>20</v>
      </c>
      <c r="Y220" t="s">
        <v>19</v>
      </c>
      <c r="Z220" t="s">
        <v>20</v>
      </c>
      <c r="AA220">
        <v>1.7656499999999999E-2</v>
      </c>
      <c r="AB220" t="s">
        <v>20</v>
      </c>
      <c r="AC220">
        <v>0.453125</v>
      </c>
      <c r="AD220" t="s">
        <v>20</v>
      </c>
      <c r="AE220">
        <v>0.51845909999999995</v>
      </c>
      <c r="AF220" t="s">
        <v>20</v>
      </c>
      <c r="AG220">
        <v>0.1315104</v>
      </c>
      <c r="AJ220" t="str">
        <f>VLOOKUP(Sheet1!W220,'알람 범위'!$D$2:$F$45,3,FALSE)</f>
        <v>40000</v>
      </c>
      <c r="AK220">
        <v>1</v>
      </c>
      <c r="AL220">
        <f t="shared" si="98"/>
        <v>40001</v>
      </c>
      <c r="AM220" t="str">
        <f t="shared" si="56"/>
        <v>EF_IN_SHUTTLE_CELL_DAMAGED_CHECK</v>
      </c>
    </row>
    <row r="221" spans="1:39" x14ac:dyDescent="0.3">
      <c r="A221">
        <f t="shared" si="87"/>
        <v>40002</v>
      </c>
      <c r="B221" t="s">
        <v>20</v>
      </c>
      <c r="C221" t="s">
        <v>295</v>
      </c>
      <c r="D221" t="s">
        <v>20</v>
      </c>
      <c r="E221" t="s">
        <v>393</v>
      </c>
      <c r="F221" t="s">
        <v>20</v>
      </c>
      <c r="G221" t="s">
        <v>296</v>
      </c>
      <c r="H221" t="s">
        <v>20</v>
      </c>
      <c r="I221" t="s">
        <v>296</v>
      </c>
      <c r="J221" t="s">
        <v>20</v>
      </c>
      <c r="K221" t="s">
        <v>296</v>
      </c>
      <c r="L221" t="s">
        <v>20</v>
      </c>
      <c r="M221" t="s">
        <v>242</v>
      </c>
      <c r="N221" t="s">
        <v>20</v>
      </c>
      <c r="O221" t="s">
        <v>243</v>
      </c>
      <c r="P221" t="s">
        <v>20</v>
      </c>
      <c r="Q221" t="s">
        <v>243</v>
      </c>
      <c r="R221" t="s">
        <v>20</v>
      </c>
      <c r="S221" t="s">
        <v>243</v>
      </c>
      <c r="T221" t="s">
        <v>20</v>
      </c>
      <c r="U221" t="s">
        <v>22</v>
      </c>
      <c r="V221" t="s">
        <v>20</v>
      </c>
      <c r="W221" t="s">
        <v>244</v>
      </c>
      <c r="X221" t="s">
        <v>20</v>
      </c>
      <c r="Y221" t="s">
        <v>19</v>
      </c>
      <c r="Z221" t="s">
        <v>20</v>
      </c>
      <c r="AA221">
        <v>0.39646870000000001</v>
      </c>
      <c r="AB221" t="s">
        <v>20</v>
      </c>
      <c r="AC221">
        <v>0.2916667</v>
      </c>
      <c r="AD221" t="s">
        <v>20</v>
      </c>
      <c r="AE221">
        <v>0.2279294</v>
      </c>
      <c r="AF221" t="s">
        <v>20</v>
      </c>
      <c r="AG221">
        <v>0.27213540000000003</v>
      </c>
      <c r="AJ221" t="str">
        <f>VLOOKUP(Sheet1!W221,'알람 범위'!$D$2:$F$45,3,FALSE)</f>
        <v>40000</v>
      </c>
      <c r="AK221">
        <v>2</v>
      </c>
      <c r="AL221">
        <f>AJ221+AK221</f>
        <v>40002</v>
      </c>
      <c r="AM221" t="str">
        <f t="shared" si="56"/>
        <v>EF_IN_ROBOT_CELL_DAMAGED_CHECK</v>
      </c>
    </row>
    <row r="222" spans="1:39" x14ac:dyDescent="0.3">
      <c r="A222">
        <f t="shared" si="87"/>
        <v>40003</v>
      </c>
      <c r="B222" t="s">
        <v>20</v>
      </c>
      <c r="C222" t="s">
        <v>390</v>
      </c>
      <c r="D222" t="s">
        <v>20</v>
      </c>
      <c r="E222" t="s">
        <v>394</v>
      </c>
      <c r="F222" t="s">
        <v>20</v>
      </c>
      <c r="G222" t="s">
        <v>397</v>
      </c>
      <c r="H222" t="s">
        <v>20</v>
      </c>
      <c r="I222" t="s">
        <v>397</v>
      </c>
      <c r="J222" t="s">
        <v>20</v>
      </c>
      <c r="K222" t="s">
        <v>397</v>
      </c>
      <c r="L222" t="s">
        <v>20</v>
      </c>
      <c r="M222" t="s">
        <v>242</v>
      </c>
      <c r="N222" t="s">
        <v>20</v>
      </c>
      <c r="O222" t="s">
        <v>243</v>
      </c>
      <c r="P222" t="s">
        <v>20</v>
      </c>
      <c r="Q222" t="s">
        <v>243</v>
      </c>
      <c r="R222" t="s">
        <v>20</v>
      </c>
      <c r="S222" t="s">
        <v>243</v>
      </c>
      <c r="T222" t="s">
        <v>20</v>
      </c>
      <c r="U222" t="s">
        <v>22</v>
      </c>
      <c r="V222" t="s">
        <v>20</v>
      </c>
      <c r="W222" t="s">
        <v>244</v>
      </c>
      <c r="X222" t="s">
        <v>20</v>
      </c>
      <c r="Y222" t="s">
        <v>19</v>
      </c>
      <c r="Z222" t="s">
        <v>20</v>
      </c>
      <c r="AA222" s="21">
        <v>0.60834670000000002</v>
      </c>
      <c r="AB222" t="s">
        <v>20</v>
      </c>
      <c r="AC222" s="21">
        <v>0.39973959999999997</v>
      </c>
      <c r="AD222" t="s">
        <v>20</v>
      </c>
      <c r="AE222" s="21">
        <v>0.10112359999999999</v>
      </c>
      <c r="AF222" t="s">
        <v>20</v>
      </c>
      <c r="AG222" s="21">
        <v>0.515625</v>
      </c>
      <c r="AJ222" t="str">
        <f>VLOOKUP(Sheet1!W222,'알람 범위'!$D$2:$F$45,3,FALSE)</f>
        <v>40000</v>
      </c>
      <c r="AK222">
        <v>3</v>
      </c>
      <c r="AL222">
        <f>AJ222+AK222</f>
        <v>40003</v>
      </c>
      <c r="AM222" t="str">
        <f t="shared" si="56"/>
        <v>EF_INSP_STAGE_CELL_DAMAGED_CHECK</v>
      </c>
    </row>
    <row r="223" spans="1:39" x14ac:dyDescent="0.3">
      <c r="A223">
        <f t="shared" si="87"/>
        <v>40004</v>
      </c>
      <c r="B223" t="s">
        <v>20</v>
      </c>
      <c r="C223" t="s">
        <v>391</v>
      </c>
      <c r="D223" t="s">
        <v>20</v>
      </c>
      <c r="E223" t="s">
        <v>395</v>
      </c>
      <c r="F223" t="s">
        <v>20</v>
      </c>
      <c r="G223" t="s">
        <v>398</v>
      </c>
      <c r="H223" t="s">
        <v>20</v>
      </c>
      <c r="I223" t="s">
        <v>398</v>
      </c>
      <c r="J223" t="s">
        <v>20</v>
      </c>
      <c r="K223" t="s">
        <v>398</v>
      </c>
      <c r="L223" t="s">
        <v>20</v>
      </c>
      <c r="M223" t="s">
        <v>242</v>
      </c>
      <c r="N223" t="s">
        <v>20</v>
      </c>
      <c r="O223" t="s">
        <v>243</v>
      </c>
      <c r="P223" t="s">
        <v>20</v>
      </c>
      <c r="Q223" t="s">
        <v>243</v>
      </c>
      <c r="R223" t="s">
        <v>20</v>
      </c>
      <c r="S223" t="s">
        <v>243</v>
      </c>
      <c r="T223" t="s">
        <v>20</v>
      </c>
      <c r="U223" t="s">
        <v>22</v>
      </c>
      <c r="V223" t="s">
        <v>20</v>
      </c>
      <c r="W223" t="s">
        <v>244</v>
      </c>
      <c r="X223" t="s">
        <v>20</v>
      </c>
      <c r="Y223" t="s">
        <v>19</v>
      </c>
      <c r="Z223" t="s">
        <v>20</v>
      </c>
      <c r="AA223" s="21">
        <v>0.61476730000000002</v>
      </c>
      <c r="AB223" t="s">
        <v>20</v>
      </c>
      <c r="AC223" s="21">
        <v>0.25911459999999997</v>
      </c>
      <c r="AD223" t="s">
        <v>20</v>
      </c>
      <c r="AE223" s="21">
        <v>0.22311400000000001</v>
      </c>
      <c r="AF223" t="s">
        <v>20</v>
      </c>
      <c r="AG223" s="21">
        <v>0.26432290000000003</v>
      </c>
      <c r="AJ223" t="str">
        <f>VLOOKUP(Sheet1!W223,'알람 범위'!$D$2:$F$45,3,FALSE)</f>
        <v>40000</v>
      </c>
      <c r="AK223">
        <v>4</v>
      </c>
      <c r="AL223">
        <f>AJ223+AK223</f>
        <v>40004</v>
      </c>
      <c r="AM223" t="str">
        <f t="shared" si="56"/>
        <v>EF_OUT_ROBOT_CELL_DAMAGED_CHECK</v>
      </c>
    </row>
    <row r="224" spans="1:39" x14ac:dyDescent="0.3">
      <c r="A224">
        <f t="shared" ref="A224" si="110">AL224</f>
        <v>40005</v>
      </c>
      <c r="B224" t="s">
        <v>20</v>
      </c>
      <c r="C224" t="s">
        <v>789</v>
      </c>
      <c r="D224" t="s">
        <v>20</v>
      </c>
      <c r="E224" t="s">
        <v>790</v>
      </c>
      <c r="F224" t="s">
        <v>20</v>
      </c>
      <c r="G224" t="s">
        <v>791</v>
      </c>
      <c r="H224" t="s">
        <v>20</v>
      </c>
      <c r="I224" t="s">
        <v>791</v>
      </c>
      <c r="J224" t="s">
        <v>20</v>
      </c>
      <c r="K224" t="s">
        <v>791</v>
      </c>
      <c r="L224" t="s">
        <v>20</v>
      </c>
      <c r="M224" t="s">
        <v>242</v>
      </c>
      <c r="N224" t="s">
        <v>20</v>
      </c>
      <c r="O224" t="s">
        <v>243</v>
      </c>
      <c r="P224" t="s">
        <v>20</v>
      </c>
      <c r="Q224" t="s">
        <v>243</v>
      </c>
      <c r="R224" t="s">
        <v>20</v>
      </c>
      <c r="S224" t="s">
        <v>243</v>
      </c>
      <c r="T224" t="s">
        <v>20</v>
      </c>
      <c r="U224" t="s">
        <v>22</v>
      </c>
      <c r="V224" t="s">
        <v>20</v>
      </c>
      <c r="W224" t="s">
        <v>244</v>
      </c>
      <c r="X224" t="s">
        <v>20</v>
      </c>
      <c r="Y224" t="s">
        <v>19</v>
      </c>
      <c r="Z224" t="s">
        <v>20</v>
      </c>
      <c r="AA224" s="21">
        <v>0.72873189999999999</v>
      </c>
      <c r="AB224" t="s">
        <v>20</v>
      </c>
      <c r="AC224" s="21">
        <v>0.32421879999999997</v>
      </c>
      <c r="AD224" t="s">
        <v>20</v>
      </c>
      <c r="AE224" s="21">
        <v>0.2359551</v>
      </c>
      <c r="AF224" t="s">
        <v>20</v>
      </c>
      <c r="AG224" s="21">
        <v>0.27994790000000003</v>
      </c>
      <c r="AJ224" t="str">
        <f>VLOOKUP(Sheet1!W224,'알람 범위'!$D$2:$F$45,3,FALSE)</f>
        <v>40000</v>
      </c>
      <c r="AK224">
        <v>5</v>
      </c>
      <c r="AL224">
        <f>AJ224+AK224</f>
        <v>40005</v>
      </c>
      <c r="AM224" t="str">
        <f t="shared" si="56"/>
        <v>EF_OUT_FLIP_CELL_DAMAGED_CHECK</v>
      </c>
    </row>
  </sheetData>
  <phoneticPr fontId="1" type="noConversion"/>
  <conditionalFormatting sqref="A181:A1048576 A1:A5 A9:A174">
    <cfRule type="duplicateValues" dxfId="4" priority="5"/>
  </conditionalFormatting>
  <conditionalFormatting sqref="A6:A8">
    <cfRule type="duplicateValues" dxfId="3" priority="4"/>
  </conditionalFormatting>
  <conditionalFormatting sqref="A177:A180">
    <cfRule type="duplicateValues" dxfId="2" priority="3"/>
  </conditionalFormatting>
  <conditionalFormatting sqref="A175">
    <cfRule type="duplicateValues" dxfId="1" priority="2"/>
  </conditionalFormatting>
  <conditionalFormatting sqref="A1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/>
  </sheetViews>
  <sheetFormatPr defaultRowHeight="16.5" x14ac:dyDescent="0.3"/>
  <cols>
    <col min="1" max="1" width="14.625" bestFit="1" customWidth="1"/>
    <col min="2" max="2" width="14.375" bestFit="1" customWidth="1"/>
    <col min="3" max="3" width="14.625" bestFit="1" customWidth="1"/>
    <col min="4" max="4" width="33.375" bestFit="1" customWidth="1"/>
  </cols>
  <sheetData>
    <row r="1" spans="1:6" ht="17.25" thickBot="1" x14ac:dyDescent="0.35">
      <c r="A1" s="1" t="s">
        <v>25</v>
      </c>
      <c r="B1" s="2" t="s">
        <v>26</v>
      </c>
      <c r="C1" s="2" t="s">
        <v>27</v>
      </c>
      <c r="D1" s="3" t="s">
        <v>28</v>
      </c>
      <c r="E1" s="17"/>
    </row>
    <row r="2" spans="1:6" x14ac:dyDescent="0.3">
      <c r="A2" s="23" t="s">
        <v>29</v>
      </c>
      <c r="B2" s="26" t="s">
        <v>30</v>
      </c>
      <c r="C2" s="4" t="s">
        <v>31</v>
      </c>
      <c r="D2" s="5" t="s">
        <v>32</v>
      </c>
      <c r="F2" t="str">
        <f>LEFT($C2,5)</f>
        <v>10000</v>
      </c>
    </row>
    <row r="3" spans="1:6" x14ac:dyDescent="0.3">
      <c r="A3" s="24"/>
      <c r="B3" s="27"/>
      <c r="C3" s="6" t="s">
        <v>33</v>
      </c>
      <c r="D3" s="7" t="s">
        <v>297</v>
      </c>
      <c r="F3" t="str">
        <f t="shared" ref="F3:F45" si="0">LEFT($C3,5)</f>
        <v>10500</v>
      </c>
    </row>
    <row r="4" spans="1:6" x14ac:dyDescent="0.3">
      <c r="A4" s="24"/>
      <c r="B4" s="27"/>
      <c r="C4" s="6" t="s">
        <v>211</v>
      </c>
      <c r="D4" s="7" t="s">
        <v>294</v>
      </c>
      <c r="F4" t="str">
        <f t="shared" si="0"/>
        <v>11000</v>
      </c>
    </row>
    <row r="5" spans="1:6" x14ac:dyDescent="0.3">
      <c r="A5" s="24"/>
      <c r="B5" s="27"/>
      <c r="C5" s="6" t="s">
        <v>34</v>
      </c>
      <c r="D5" s="7" t="s">
        <v>473</v>
      </c>
      <c r="F5" t="str">
        <f t="shared" si="0"/>
        <v>11500</v>
      </c>
    </row>
    <row r="6" spans="1:6" x14ac:dyDescent="0.3">
      <c r="A6" s="24"/>
      <c r="B6" s="27"/>
      <c r="C6" s="6" t="s">
        <v>35</v>
      </c>
      <c r="D6" s="7" t="s">
        <v>298</v>
      </c>
      <c r="F6" t="str">
        <f t="shared" si="0"/>
        <v>12000</v>
      </c>
    </row>
    <row r="7" spans="1:6" x14ac:dyDescent="0.3">
      <c r="A7" s="24"/>
      <c r="B7" s="27"/>
      <c r="C7" s="6" t="s">
        <v>37</v>
      </c>
      <c r="D7" s="7" t="s">
        <v>708</v>
      </c>
      <c r="F7" t="str">
        <f t="shared" si="0"/>
        <v>13000</v>
      </c>
    </row>
    <row r="8" spans="1:6" x14ac:dyDescent="0.3">
      <c r="A8" s="24"/>
      <c r="B8" s="27"/>
      <c r="C8" s="6" t="s">
        <v>38</v>
      </c>
      <c r="D8" s="7" t="s">
        <v>721</v>
      </c>
      <c r="F8" t="str">
        <f t="shared" si="0"/>
        <v>13500</v>
      </c>
    </row>
    <row r="9" spans="1:6" x14ac:dyDescent="0.3">
      <c r="A9" s="24"/>
      <c r="B9" s="27"/>
      <c r="C9" s="6" t="s">
        <v>39</v>
      </c>
      <c r="D9" s="7" t="s">
        <v>183</v>
      </c>
      <c r="F9" t="str">
        <f t="shared" si="0"/>
        <v>14000</v>
      </c>
    </row>
    <row r="10" spans="1:6" x14ac:dyDescent="0.3">
      <c r="A10" s="24"/>
      <c r="B10" s="27"/>
      <c r="C10" s="6" t="s">
        <v>40</v>
      </c>
      <c r="D10" s="7"/>
      <c r="F10" t="str">
        <f t="shared" si="0"/>
        <v>14500</v>
      </c>
    </row>
    <row r="11" spans="1:6" x14ac:dyDescent="0.3">
      <c r="A11" s="24"/>
      <c r="B11" s="27"/>
      <c r="C11" s="6" t="s">
        <v>41</v>
      </c>
      <c r="D11" s="11"/>
      <c r="F11" t="str">
        <f t="shared" si="0"/>
        <v>15000</v>
      </c>
    </row>
    <row r="12" spans="1:6" x14ac:dyDescent="0.3">
      <c r="A12" s="24"/>
      <c r="B12" s="27"/>
      <c r="C12" s="6" t="s">
        <v>42</v>
      </c>
      <c r="D12" s="11"/>
      <c r="F12" t="str">
        <f t="shared" si="0"/>
        <v>15500</v>
      </c>
    </row>
    <row r="13" spans="1:6" x14ac:dyDescent="0.3">
      <c r="A13" s="24"/>
      <c r="B13" s="27"/>
      <c r="C13" s="6" t="s">
        <v>43</v>
      </c>
      <c r="D13" s="7"/>
      <c r="F13" t="str">
        <f t="shared" si="0"/>
        <v>16000</v>
      </c>
    </row>
    <row r="14" spans="1:6" x14ac:dyDescent="0.3">
      <c r="A14" s="24"/>
      <c r="B14" s="27"/>
      <c r="C14" s="6" t="s">
        <v>44</v>
      </c>
      <c r="D14" s="7"/>
      <c r="F14" t="str">
        <f t="shared" si="0"/>
        <v>16500</v>
      </c>
    </row>
    <row r="15" spans="1:6" x14ac:dyDescent="0.3">
      <c r="A15" s="24"/>
      <c r="B15" s="27"/>
      <c r="C15" s="6" t="s">
        <v>45</v>
      </c>
      <c r="D15" s="7"/>
      <c r="F15" t="str">
        <f t="shared" si="0"/>
        <v>17000</v>
      </c>
    </row>
    <row r="16" spans="1:6" x14ac:dyDescent="0.3">
      <c r="A16" s="24"/>
      <c r="B16" s="27"/>
      <c r="C16" s="6" t="s">
        <v>46</v>
      </c>
      <c r="D16" s="7"/>
      <c r="F16" t="str">
        <f t="shared" si="0"/>
        <v>17500</v>
      </c>
    </row>
    <row r="17" spans="1:6" x14ac:dyDescent="0.3">
      <c r="A17" s="24"/>
      <c r="B17" s="27"/>
      <c r="C17" s="6" t="s">
        <v>47</v>
      </c>
      <c r="D17" s="7"/>
      <c r="F17" t="str">
        <f t="shared" si="0"/>
        <v>18000</v>
      </c>
    </row>
    <row r="18" spans="1:6" x14ac:dyDescent="0.3">
      <c r="A18" s="24"/>
      <c r="B18" s="27"/>
      <c r="C18" s="6" t="s">
        <v>48</v>
      </c>
      <c r="D18" s="7"/>
      <c r="F18" t="str">
        <f t="shared" si="0"/>
        <v>18500</v>
      </c>
    </row>
    <row r="19" spans="1:6" x14ac:dyDescent="0.3">
      <c r="A19" s="24"/>
      <c r="B19" s="27"/>
      <c r="C19" s="6" t="s">
        <v>49</v>
      </c>
      <c r="D19" s="7"/>
      <c r="F19" t="str">
        <f t="shared" si="0"/>
        <v>19000</v>
      </c>
    </row>
    <row r="20" spans="1:6" x14ac:dyDescent="0.3">
      <c r="A20" s="24"/>
      <c r="B20" s="27"/>
      <c r="C20" s="6" t="s">
        <v>50</v>
      </c>
      <c r="D20" s="7"/>
      <c r="F20" t="str">
        <f t="shared" si="0"/>
        <v>19500</v>
      </c>
    </row>
    <row r="21" spans="1:6" x14ac:dyDescent="0.3">
      <c r="A21" s="24"/>
      <c r="B21" s="27"/>
      <c r="C21" s="6" t="s">
        <v>51</v>
      </c>
      <c r="D21" s="7" t="s">
        <v>36</v>
      </c>
      <c r="F21" t="str">
        <f t="shared" si="0"/>
        <v>20000</v>
      </c>
    </row>
    <row r="22" spans="1:6" x14ac:dyDescent="0.3">
      <c r="A22" s="24"/>
      <c r="B22" s="27"/>
      <c r="C22" s="6" t="s">
        <v>52</v>
      </c>
      <c r="D22" s="7" t="s">
        <v>278</v>
      </c>
      <c r="F22" t="str">
        <f t="shared" si="0"/>
        <v>20500</v>
      </c>
    </row>
    <row r="23" spans="1:6" x14ac:dyDescent="0.3">
      <c r="A23" s="24"/>
      <c r="B23" s="27"/>
      <c r="C23" s="6" t="s">
        <v>53</v>
      </c>
      <c r="D23" s="7" t="s">
        <v>299</v>
      </c>
      <c r="F23" t="str">
        <f t="shared" si="0"/>
        <v>21000</v>
      </c>
    </row>
    <row r="24" spans="1:6" x14ac:dyDescent="0.3">
      <c r="A24" s="24"/>
      <c r="B24" s="27"/>
      <c r="C24" s="6" t="s">
        <v>54</v>
      </c>
      <c r="D24" s="7"/>
      <c r="F24" t="str">
        <f t="shared" si="0"/>
        <v>21500</v>
      </c>
    </row>
    <row r="25" spans="1:6" x14ac:dyDescent="0.3">
      <c r="A25" s="24"/>
      <c r="B25" s="27"/>
      <c r="C25" s="6" t="s">
        <v>55</v>
      </c>
      <c r="D25" s="7"/>
      <c r="F25" t="str">
        <f t="shared" si="0"/>
        <v>22000</v>
      </c>
    </row>
    <row r="26" spans="1:6" x14ac:dyDescent="0.3">
      <c r="A26" s="24"/>
      <c r="B26" s="27"/>
      <c r="C26" s="6" t="s">
        <v>56</v>
      </c>
      <c r="D26" s="7"/>
      <c r="F26" t="str">
        <f t="shared" si="0"/>
        <v>22500</v>
      </c>
    </row>
    <row r="27" spans="1:6" x14ac:dyDescent="0.3">
      <c r="A27" s="24"/>
      <c r="B27" s="27"/>
      <c r="C27" s="6" t="s">
        <v>57</v>
      </c>
      <c r="D27" s="7"/>
      <c r="F27" t="str">
        <f t="shared" si="0"/>
        <v>23000</v>
      </c>
    </row>
    <row r="28" spans="1:6" x14ac:dyDescent="0.3">
      <c r="A28" s="24"/>
      <c r="B28" s="27"/>
      <c r="C28" s="6" t="s">
        <v>58</v>
      </c>
      <c r="D28" s="7"/>
      <c r="F28" t="str">
        <f t="shared" si="0"/>
        <v>23500</v>
      </c>
    </row>
    <row r="29" spans="1:6" x14ac:dyDescent="0.3">
      <c r="A29" s="24"/>
      <c r="B29" s="27"/>
      <c r="C29" s="6" t="s">
        <v>59</v>
      </c>
      <c r="D29" s="22"/>
      <c r="F29" t="str">
        <f t="shared" si="0"/>
        <v>24000</v>
      </c>
    </row>
    <row r="30" spans="1:6" x14ac:dyDescent="0.3">
      <c r="A30" s="24"/>
      <c r="B30" s="27"/>
      <c r="C30" s="6" t="s">
        <v>97</v>
      </c>
      <c r="D30" s="14"/>
      <c r="F30" t="str">
        <f t="shared" si="0"/>
        <v>28000</v>
      </c>
    </row>
    <row r="31" spans="1:6" x14ac:dyDescent="0.3">
      <c r="A31" s="24"/>
      <c r="B31" s="27"/>
      <c r="C31" s="6" t="s">
        <v>96</v>
      </c>
      <c r="D31" s="11"/>
      <c r="F31" t="str">
        <f t="shared" si="0"/>
        <v>28500</v>
      </c>
    </row>
    <row r="32" spans="1:6" x14ac:dyDescent="0.3">
      <c r="A32" s="24"/>
      <c r="B32" s="27"/>
      <c r="C32" s="6" t="s">
        <v>93</v>
      </c>
      <c r="D32" s="11"/>
      <c r="F32" t="str">
        <f t="shared" si="0"/>
        <v>29000</v>
      </c>
    </row>
    <row r="33" spans="1:6" ht="17.25" thickBot="1" x14ac:dyDescent="0.35">
      <c r="A33" s="25"/>
      <c r="B33" s="28"/>
      <c r="C33" s="13" t="s">
        <v>94</v>
      </c>
      <c r="D33" s="14" t="s">
        <v>60</v>
      </c>
      <c r="F33" t="str">
        <f t="shared" si="0"/>
        <v>29500</v>
      </c>
    </row>
    <row r="34" spans="1:6" x14ac:dyDescent="0.3">
      <c r="A34" s="23" t="s">
        <v>61</v>
      </c>
      <c r="B34" s="26" t="s">
        <v>62</v>
      </c>
      <c r="C34" s="4" t="s">
        <v>101</v>
      </c>
      <c r="D34" s="5" t="s">
        <v>24</v>
      </c>
      <c r="F34" t="str">
        <f t="shared" si="0"/>
        <v>30000</v>
      </c>
    </row>
    <row r="35" spans="1:6" x14ac:dyDescent="0.3">
      <c r="A35" s="24"/>
      <c r="B35" s="27"/>
      <c r="C35" s="6" t="s">
        <v>102</v>
      </c>
      <c r="D35" s="7" t="s">
        <v>184</v>
      </c>
      <c r="F35" t="str">
        <f t="shared" si="0"/>
        <v>31000</v>
      </c>
    </row>
    <row r="36" spans="1:6" x14ac:dyDescent="0.3">
      <c r="A36" s="24"/>
      <c r="B36" s="27"/>
      <c r="C36" s="6"/>
      <c r="D36" s="7"/>
      <c r="F36" t="str">
        <f t="shared" si="0"/>
        <v/>
      </c>
    </row>
    <row r="37" spans="1:6" x14ac:dyDescent="0.3">
      <c r="A37" s="24"/>
      <c r="B37" s="27"/>
      <c r="C37" s="6"/>
      <c r="D37" s="7"/>
      <c r="F37" t="str">
        <f t="shared" si="0"/>
        <v/>
      </c>
    </row>
    <row r="38" spans="1:6" x14ac:dyDescent="0.3">
      <c r="A38" s="24"/>
      <c r="B38" s="27"/>
      <c r="C38" s="6"/>
      <c r="D38" s="7"/>
      <c r="F38" t="str">
        <f t="shared" si="0"/>
        <v/>
      </c>
    </row>
    <row r="39" spans="1:6" x14ac:dyDescent="0.3">
      <c r="A39" s="24"/>
      <c r="B39" s="27"/>
      <c r="C39" s="6"/>
      <c r="D39" s="7"/>
      <c r="F39" t="str">
        <f t="shared" si="0"/>
        <v/>
      </c>
    </row>
    <row r="40" spans="1:6" x14ac:dyDescent="0.3">
      <c r="A40" s="24"/>
      <c r="B40" s="27"/>
      <c r="C40" s="6"/>
      <c r="D40" s="7"/>
      <c r="F40" t="str">
        <f t="shared" si="0"/>
        <v/>
      </c>
    </row>
    <row r="41" spans="1:6" x14ac:dyDescent="0.3">
      <c r="A41" s="24"/>
      <c r="B41" s="27"/>
      <c r="C41" s="6"/>
      <c r="D41" s="7"/>
      <c r="F41" t="str">
        <f t="shared" si="0"/>
        <v/>
      </c>
    </row>
    <row r="42" spans="1:6" x14ac:dyDescent="0.3">
      <c r="A42" s="24"/>
      <c r="B42" s="27"/>
      <c r="C42" s="6"/>
      <c r="D42" s="7"/>
      <c r="F42" t="str">
        <f t="shared" si="0"/>
        <v/>
      </c>
    </row>
    <row r="43" spans="1:6" ht="17.25" thickBot="1" x14ac:dyDescent="0.35">
      <c r="A43" s="25"/>
      <c r="B43" s="28"/>
      <c r="C43" s="8"/>
      <c r="D43" s="9"/>
      <c r="F43" t="str">
        <f t="shared" si="0"/>
        <v/>
      </c>
    </row>
    <row r="44" spans="1:6" ht="17.25" thickBot="1" x14ac:dyDescent="0.35">
      <c r="A44" s="15" t="s">
        <v>63</v>
      </c>
      <c r="B44" s="16" t="s">
        <v>64</v>
      </c>
      <c r="C44" s="16" t="s">
        <v>63</v>
      </c>
      <c r="D44" s="10" t="s">
        <v>98</v>
      </c>
      <c r="F44" t="str">
        <f t="shared" si="0"/>
        <v>40000</v>
      </c>
    </row>
    <row r="45" spans="1:6" ht="17.25" thickBot="1" x14ac:dyDescent="0.35">
      <c r="A45" s="15" t="s">
        <v>65</v>
      </c>
      <c r="B45" s="16" t="s">
        <v>66</v>
      </c>
      <c r="C45" s="16" t="s">
        <v>100</v>
      </c>
      <c r="D45" s="10" t="s">
        <v>99</v>
      </c>
      <c r="F45" t="str">
        <f t="shared" si="0"/>
        <v>50000</v>
      </c>
    </row>
  </sheetData>
  <mergeCells count="4">
    <mergeCell ref="A2:A33"/>
    <mergeCell ref="B2:B33"/>
    <mergeCell ref="A34:A43"/>
    <mergeCell ref="B34:B4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1"/>
  <sheetViews>
    <sheetView topLeftCell="A2" zoomScale="85" zoomScaleNormal="85" workbookViewId="0">
      <selection activeCell="C4" sqref="C4"/>
    </sheetView>
  </sheetViews>
  <sheetFormatPr defaultRowHeight="16.5" x14ac:dyDescent="0.3"/>
  <cols>
    <col min="1" max="1" width="68" bestFit="1" customWidth="1"/>
    <col min="2" max="2" width="15" style="12" customWidth="1"/>
  </cols>
  <sheetData>
    <row r="1" spans="1:27" hidden="1" x14ac:dyDescent="0.3">
      <c r="V1" t="s">
        <v>77</v>
      </c>
      <c r="W1" t="s">
        <v>76</v>
      </c>
      <c r="X1" t="s">
        <v>75</v>
      </c>
      <c r="Z1" t="s">
        <v>78</v>
      </c>
      <c r="AA1" t="s">
        <v>79</v>
      </c>
    </row>
    <row r="2" spans="1:27" x14ac:dyDescent="0.3">
      <c r="A2" t="str">
        <f>IF(ISBLANK(Sheet1!C2),"",SUBSTITUTE(SUBSTITUTE(SUBSTITUTE(SUBSTITUTE(SUBSTITUTE(Sheet1!C2, " ", "_"), "-", "_"), "&amp;", "_"), "/", "_"), "#", "_"))</f>
        <v>EM_UPPER_EQUIPMENT_N_EMERGENCY_STATE</v>
      </c>
      <c r="B2" t="str">
        <f>IF(ISBLANK(Sheet1!A2)=TRUE,"",IF(EXACT(Sheet1!W1,Sheet1!W2)=TRUE,"",$Z$1&amp;CHAR(13)&amp;$AA$1&amp;Sheet1!W2&amp;CHAR(13)&amp;$Z$1&amp;CHAR(13))&amp;$W$1&amp;CHAR(13)&amp;$V$1&amp;Sheet1!E2&amp;CHAR(13)&amp;$X$1&amp;CHAR(13)&amp;$A2&amp;" = "&amp;Sheet1!A2&amp;",")</f>
        <v>//////////////////////////////////////////////////////////////////////////_x000D_// LOAD_EQ_TO_EQ_x000D_//////////////////////////////////////////////////////////////////////////_x000D_/// &lt;summary&gt;_x000D_/// 상류설비에서 EMERGENCY가 발생했습니다_x000D_/// &lt;/summary&gt;_x000D_EM_UPPER_EQUIPMENT_N_EMERGENCY_STATE = 10000,</v>
      </c>
    </row>
    <row r="3" spans="1:27" x14ac:dyDescent="0.3">
      <c r="A3" t="str">
        <f>IF(ISBLANK(Sheet1!C3),"",SUBSTITUTE(SUBSTITUTE(SUBSTITUTE(SUBSTITUTE(SUBSTITUTE(Sheet1!C3, " ", "_"), "-", "_"), "&amp;", "_"), "/", "_"), "#", "_"))</f>
        <v>EM_UPPER_EQUIPMENT_DOOR_OPEN</v>
      </c>
      <c r="B3" t="str">
        <f>IF(ISBLANK(Sheet1!A3)=TRUE,"",IF(EXACT(Sheet1!W2,Sheet1!W3)=TRUE,"",$Z$1&amp;CHAR(13)&amp;$AA$1&amp;Sheet1!W3&amp;CHAR(13)&amp;$Z$1&amp;CHAR(13))&amp;$W$1&amp;CHAR(13)&amp;$V$1&amp;Sheet1!E3&amp;CHAR(13)&amp;$X$1&amp;CHAR(13)&amp;$A3&amp;" = "&amp;Sheet1!A3&amp;",")</f>
        <v>/// &lt;summary&gt;_x000D_/// 상류설비에 DOOR가 열렸습니다_x000D_/// &lt;/summary&gt;_x000D_EM_UPPER_EQUIPMENT_DOOR_OPEN = 10001,</v>
      </c>
    </row>
    <row r="4" spans="1:27" x14ac:dyDescent="0.3">
      <c r="A4" t="str">
        <f>IF(ISBLANK(Sheet1!C4),"",SUBSTITUTE(SUBSTITUTE(SUBSTITUTE(SUBSTITUTE(SUBSTITUTE(Sheet1!C4, " ", "_"), "-", "_"), "&amp;", "_"), "/", "_"), "#", "_"))</f>
        <v>MO_IN_SHUTTLE_X1_HOME_MOTION</v>
      </c>
      <c r="B4" t="str">
        <f>IF(ISBLANK(Sheet1!A4)=TRUE,"",IF(EXACT(Sheet1!W3,Sheet1!W4)=TRUE,"",$Z$1&amp;CHAR(13)&amp;$AA$1&amp;Sheet1!W4&amp;CHAR(13)&amp;$Z$1&amp;CHAR(13))&amp;$W$1&amp;CHAR(13)&amp;$V$1&amp;Sheet1!E4&amp;CHAR(13)&amp;$X$1&amp;CHAR(13)&amp;$A4&amp;" = "&amp;Sheet1!A4&amp;",")</f>
        <v>//////////////////////////////////////////////////////////////////////////_x000D_// IN_SHUTTLE_x000D_//////////////////////////////////////////////////////////////////////////_x000D_/// &lt;summary&gt;_x000D_/// IN셔틀 X1축이 홈 동작 진행에 실패 했습니다_x000D_/// &lt;/summary&gt;_x000D_MO_IN_SHUTTLE_X1_HOME_MOTION = 10500,</v>
      </c>
    </row>
    <row r="5" spans="1:27" x14ac:dyDescent="0.3">
      <c r="A5" t="str">
        <f>IF(ISBLANK(Sheet1!C5),"",SUBSTITUTE(SUBSTITUTE(SUBSTITUTE(SUBSTITUTE(SUBSTITUTE(Sheet1!C5, " ", "_"), "-", "_"), "&amp;", "_"), "/", "_"), "#", "_"))</f>
        <v>MO_IN_SHUTTLE_X1_LOAD_MOVE</v>
      </c>
      <c r="B5" t="str">
        <f>IF(ISBLANK(Sheet1!A5)=TRUE,"",IF(EXACT(Sheet1!W4,Sheet1!W5)=TRUE,"",$Z$1&amp;CHAR(13)&amp;$AA$1&amp;Sheet1!W5&amp;CHAR(13)&amp;$Z$1&amp;CHAR(13))&amp;$W$1&amp;CHAR(13)&amp;$V$1&amp;Sheet1!E5&amp;CHAR(13)&amp;$X$1&amp;CHAR(13)&amp;$A5&amp;" = "&amp;Sheet1!A5&amp;",")</f>
        <v>/// &lt;summary&gt;_x000D_/// IN셔틀 X1축 로드 위치 이동에 실패 했습니다 (상류설비 위치)_x000D_/// &lt;/summary&gt;_x000D_MO_IN_SHUTTLE_X1_LOAD_MOVE = 10501,</v>
      </c>
    </row>
    <row r="6" spans="1:27" x14ac:dyDescent="0.3">
      <c r="A6" t="str">
        <f>IF(ISBLANK(Sheet1!C6),"",SUBSTITUTE(SUBSTITUTE(SUBSTITUTE(SUBSTITUTE(SUBSTITUTE(Sheet1!C6, " ", "_"), "-", "_"), "&amp;", "_"), "/", "_"), "#", "_"))</f>
        <v>MO_IN_SHUTTLE_X1_SCAN_START_WAIT_MOVE</v>
      </c>
      <c r="B6" t="str">
        <f>IF(ISBLANK(Sheet1!A6)=TRUE,"",IF(EXACT(Sheet1!W5,Sheet1!W6)=TRUE,"",$Z$1&amp;CHAR(13)&amp;$AA$1&amp;Sheet1!W6&amp;CHAR(13)&amp;$Z$1&amp;CHAR(13))&amp;$W$1&amp;CHAR(13)&amp;$V$1&amp;Sheet1!E6&amp;CHAR(13)&amp;$X$1&amp;CHAR(13)&amp;$A6&amp;" = "&amp;Sheet1!A6&amp;",")</f>
        <v>/// &lt;summary&gt;_x000D_/// IN셔틀 X1축 스캔 시작 대기 위치 이동에 실패 했습니다_x000D_/// &lt;/summary&gt;_x000D_MO_IN_SHUTTLE_X1_SCAN_START_WAIT_MOVE = 10502,</v>
      </c>
    </row>
    <row r="7" spans="1:27" x14ac:dyDescent="0.3">
      <c r="A7" t="str">
        <f>IF(ISBLANK(Sheet1!C7),"",SUBSTITUTE(SUBSTITUTE(SUBSTITUTE(SUBSTITUTE(SUBSTITUTE(Sheet1!C7, " ", "_"), "-", "_"), "&amp;", "_"), "/", "_"), "#", "_"))</f>
        <v>MO_IN_SHUTTLE_X1_SCAN_TRIGGER_START_MOVE</v>
      </c>
      <c r="B7" t="str">
        <f>IF(ISBLANK(Sheet1!A7)=TRUE,"",IF(EXACT(Sheet1!W6,Sheet1!W7)=TRUE,"",$Z$1&amp;CHAR(13)&amp;$AA$1&amp;Sheet1!W7&amp;CHAR(13)&amp;$Z$1&amp;CHAR(13))&amp;$W$1&amp;CHAR(13)&amp;$V$1&amp;Sheet1!E7&amp;CHAR(13)&amp;$X$1&amp;CHAR(13)&amp;$A7&amp;" = "&amp;Sheet1!A7&amp;",")</f>
        <v>/// &lt;summary&gt;_x000D_/// IN셔틀 X1축 스캔 트리거 시작 위치 이동에 실패 했습니다_x000D_/// &lt;/summary&gt;_x000D_MO_IN_SHUTTLE_X1_SCAN_TRIGGER_START_MOVE = 10503,</v>
      </c>
    </row>
    <row r="8" spans="1:27" x14ac:dyDescent="0.3">
      <c r="A8" t="str">
        <f>IF(ISBLANK(Sheet1!C8),"",SUBSTITUTE(SUBSTITUTE(SUBSTITUTE(SUBSTITUTE(SUBSTITUTE(Sheet1!C8, " ", "_"), "-", "_"), "&amp;", "_"), "/", "_"), "#", "_"))</f>
        <v>MO_IN_SHUTTLE_X1_SCAN_TRIGGER_END_MOVE</v>
      </c>
      <c r="B8" t="str">
        <f>IF(ISBLANK(Sheet1!A8)=TRUE,"",IF(EXACT(Sheet1!W7,Sheet1!W8)=TRUE,"",$Z$1&amp;CHAR(13)&amp;$AA$1&amp;Sheet1!W8&amp;CHAR(13)&amp;$Z$1&amp;CHAR(13))&amp;$W$1&amp;CHAR(13)&amp;$V$1&amp;Sheet1!E8&amp;CHAR(13)&amp;$X$1&amp;CHAR(13)&amp;$A8&amp;" = "&amp;Sheet1!A8&amp;",")</f>
        <v>/// &lt;summary&gt;_x000D_/// IN셔틀 X1축 스캔 트리거 종료 위치 이동에 실패 했습니다_x000D_/// &lt;/summary&gt;_x000D_MO_IN_SHUTTLE_X1_SCAN_TRIGGER_END_MOVE = 10504,</v>
      </c>
    </row>
    <row r="9" spans="1:27" x14ac:dyDescent="0.3">
      <c r="A9" t="str">
        <f>IF(ISBLANK(Sheet1!C9),"",SUBSTITUTE(SUBSTITUTE(SUBSTITUTE(SUBSTITUTE(SUBSTITUTE(Sheet1!C9, " ", "_"), "-", "_"), "&amp;", "_"), "/", "_"), "#", "_"))</f>
        <v>MO_IN_SHUTTLE_X1_ALIGN_MOVE</v>
      </c>
      <c r="B9" t="str">
        <f>IF(ISBLANK(Sheet1!A9)=TRUE,"",IF(EXACT(Sheet1!W8,Sheet1!W9)=TRUE,"",$Z$1&amp;CHAR(13)&amp;$AA$1&amp;Sheet1!W9&amp;CHAR(13)&amp;$Z$1&amp;CHAR(13))&amp;$W$1&amp;CHAR(13)&amp;$V$1&amp;Sheet1!E9&amp;CHAR(13)&amp;$X$1&amp;CHAR(13)&amp;$A9&amp;" = "&amp;Sheet1!A9&amp;",")</f>
        <v>/// &lt;summary&gt;_x000D_/// IN셔틀 X1축 얼라인 위치 이동에 실패 했습니다_x000D_/// &lt;/summary&gt;_x000D_MO_IN_SHUTTLE_X1_ALIGN_MOVE = 10505,</v>
      </c>
    </row>
    <row r="10" spans="1:27" x14ac:dyDescent="0.3">
      <c r="A10" t="str">
        <f>IF(ISBLANK(Sheet1!C10),"",SUBSTITUTE(SUBSTITUTE(SUBSTITUTE(SUBSTITUTE(SUBSTITUTE(Sheet1!C10, " ", "_"), "-", "_"), "&amp;", "_"), "/", "_"), "#", "_"))</f>
        <v>MO_IN_SHUTTLE_X1_UNLOAD_MOVE</v>
      </c>
      <c r="B10" t="str">
        <f>IF(ISBLANK(Sheet1!A10)=TRUE,"",IF(EXACT(Sheet1!W9,Sheet1!W10)=TRUE,"",$Z$1&amp;CHAR(13)&amp;$AA$1&amp;Sheet1!W10&amp;CHAR(13)&amp;$Z$1&amp;CHAR(13))&amp;$W$1&amp;CHAR(13)&amp;$V$1&amp;Sheet1!E10&amp;CHAR(13)&amp;$X$1&amp;CHAR(13)&amp;$A10&amp;" = "&amp;Sheet1!A10&amp;",")</f>
        <v>/// &lt;summary&gt;_x000D_/// IN셔틀 X1축 언로드 위치 이동에 실패 했습니다 (IN로봇 위치)_x000D_/// &lt;/summary&gt;_x000D_MO_IN_SHUTTLE_X1_UNLOAD_MOVE = 10506,</v>
      </c>
    </row>
    <row r="11" spans="1:27" x14ac:dyDescent="0.3">
      <c r="A11" t="str">
        <f>IF(ISBLANK(Sheet1!C11),"",SUBSTITUTE(SUBSTITUTE(SUBSTITUTE(SUBSTITUTE(SUBSTITUTE(Sheet1!C11, " ", "_"), "-", "_"), "&amp;", "_"), "/", "_"), "#", "_"))</f>
        <v>VC_IN_SHUTTLE_P1_VACUUM</v>
      </c>
      <c r="B11" t="str">
        <f>IF(ISBLANK(Sheet1!A11)=TRUE,"",IF(EXACT(Sheet1!W10,Sheet1!W11)=TRUE,"",$Z$1&amp;CHAR(13)&amp;$AA$1&amp;Sheet1!W11&amp;CHAR(13)&amp;$Z$1&amp;CHAR(13))&amp;$W$1&amp;CHAR(13)&amp;$V$1&amp;Sheet1!E11&amp;CHAR(13)&amp;$X$1&amp;CHAR(13)&amp;$A11&amp;" = "&amp;Sheet1!A11&amp;",")</f>
        <v>/// &lt;summary&gt;_x000D_/// IN셔틀 P1 진공 흡착에 실패 했습니다_x000D_/// &lt;/summary&gt;_x000D_VC_IN_SHUTTLE_P1_VACUUM = 10600,</v>
      </c>
    </row>
    <row r="12" spans="1:27" x14ac:dyDescent="0.3">
      <c r="A12" t="str">
        <f>IF(ISBLANK(Sheet1!C12),"",SUBSTITUTE(SUBSTITUTE(SUBSTITUTE(SUBSTITUTE(SUBSTITUTE(Sheet1!C12, " ", "_"), "-", "_"), "&amp;", "_"), "/", "_"), "#", "_"))</f>
        <v>VC_IN_SHUTTLE_P1_BLOW</v>
      </c>
      <c r="B12" t="str">
        <f>IF(ISBLANK(Sheet1!A12)=TRUE,"",IF(EXACT(Sheet1!W11,Sheet1!W12)=TRUE,"",$Z$1&amp;CHAR(13)&amp;$AA$1&amp;Sheet1!W12&amp;CHAR(13)&amp;$Z$1&amp;CHAR(13))&amp;$W$1&amp;CHAR(13)&amp;$V$1&amp;Sheet1!E12&amp;CHAR(13)&amp;$X$1&amp;CHAR(13)&amp;$A12&amp;" = "&amp;Sheet1!A12&amp;",")</f>
        <v>/// &lt;summary&gt;_x000D_/// IN셔틀 P1 진공 파기에 실패 했습니다_x000D_/// &lt;/summary&gt;_x000D_VC_IN_SHUTTLE_P1_BLOW = 10601,</v>
      </c>
    </row>
    <row r="13" spans="1:27" x14ac:dyDescent="0.3">
      <c r="A13" t="str">
        <f>IF(ISBLANK(Sheet1!C13),"",SUBSTITUTE(SUBSTITUTE(SUBSTITUTE(SUBSTITUTE(SUBSTITUTE(Sheet1!C13, " ", "_"), "-", "_"), "&amp;", "_"), "/", "_"), "#", "_"))</f>
        <v>SE_IN_SHUTTLE_P1_VACUUM_CHECK</v>
      </c>
      <c r="B13" t="str">
        <f>IF(ISBLANK(Sheet1!A13)=TRUE,"",IF(EXACT(Sheet1!W12,Sheet1!W13)=TRUE,"",$Z$1&amp;CHAR(13)&amp;$AA$1&amp;Sheet1!W13&amp;CHAR(13)&amp;$Z$1&amp;CHAR(13))&amp;$W$1&amp;CHAR(13)&amp;$V$1&amp;Sheet1!E13&amp;CHAR(13)&amp;$X$1&amp;CHAR(13)&amp;$A13&amp;" = "&amp;Sheet1!A13&amp;",")</f>
        <v>/// &lt;summary&gt;_x000D_/// IN셔틀 P1 셀 확인에 실패 했습니다 (진공)_x000D_/// &lt;/summary&gt;_x000D_SE_IN_SHUTTLE_P1_VACUUM_CHECK = 10602,</v>
      </c>
    </row>
    <row r="14" spans="1:27" x14ac:dyDescent="0.3">
      <c r="A14" t="str">
        <f>IF(ISBLANK(Sheet1!C14),"",SUBSTITUTE(SUBSTITUTE(SUBSTITUTE(SUBSTITUTE(SUBSTITUTE(Sheet1!C14, " ", "_"), "-", "_"), "&amp;", "_"), "/", "_"), "#", "_"))</f>
        <v>SE_IN_SHUTTLE_P1_SENSOR_CHECK</v>
      </c>
      <c r="B14" t="str">
        <f>IF(ISBLANK(Sheet1!A14)=TRUE,"",IF(EXACT(Sheet1!W13,Sheet1!W14)=TRUE,"",$Z$1&amp;CHAR(13)&amp;$AA$1&amp;Sheet1!W14&amp;CHAR(13)&amp;$Z$1&amp;CHAR(13))&amp;$W$1&amp;CHAR(13)&amp;$V$1&amp;Sheet1!E14&amp;CHAR(13)&amp;$X$1&amp;CHAR(13)&amp;$A14&amp;" = "&amp;Sheet1!A14&amp;",")</f>
        <v>/// &lt;summary&gt;_x000D_/// IN셔틀 P1 셀 확인에 실패 했습니다 (센서)_x000D_/// &lt;/summary&gt;_x000D_SE_IN_SHUTTLE_P1_SENSOR_CHECK = 10603,</v>
      </c>
    </row>
    <row r="15" spans="1:27" x14ac:dyDescent="0.3">
      <c r="A15" t="str">
        <f>IF(ISBLANK(Sheet1!C15),"",SUBSTITUTE(SUBSTITUTE(SUBSTITUTE(SUBSTITUTE(SUBSTITUTE(Sheet1!C15, " ", "_"), "-", "_"), "&amp;", "_"), "/", "_"), "#", "_"))</f>
        <v>SE_IN_SHUTTLE_P1_VACUUM_OVERLAP</v>
      </c>
      <c r="B15" t="str">
        <f>IF(ISBLANK(Sheet1!A15)=TRUE,"",IF(EXACT(Sheet1!W14,Sheet1!W15)=TRUE,"",$Z$1&amp;CHAR(13)&amp;$AA$1&amp;Sheet1!W15&amp;CHAR(13)&amp;$Z$1&amp;CHAR(13))&amp;$W$1&amp;CHAR(13)&amp;$V$1&amp;Sheet1!E15&amp;CHAR(13)&amp;$X$1&amp;CHAR(13)&amp;$A15&amp;" = "&amp;Sheet1!A15&amp;",")</f>
        <v>/// &lt;summary&gt;_x000D_/// IN셔틀 P1 셀 겹침 확인되었습니다 (진공)_x000D_/// &lt;/summary&gt;_x000D_SE_IN_SHUTTLE_P1_VACUUM_OVERLAP = 10604,</v>
      </c>
    </row>
    <row r="16" spans="1:27" x14ac:dyDescent="0.3">
      <c r="A16" t="str">
        <f>IF(ISBLANK(Sheet1!C16),"",SUBSTITUTE(SUBSTITUTE(SUBSTITUTE(SUBSTITUTE(SUBSTITUTE(Sheet1!C16, " ", "_"), "-", "_"), "&amp;", "_"), "/", "_"), "#", "_"))</f>
        <v>SE_IN_SHUTTLE_P1_SENSOR_OVERLAP</v>
      </c>
      <c r="B16" t="str">
        <f>IF(ISBLANK(Sheet1!A16)=TRUE,"",IF(EXACT(Sheet1!W15,Sheet1!W16)=TRUE,"",$Z$1&amp;CHAR(13)&amp;$AA$1&amp;Sheet1!W16&amp;CHAR(13)&amp;$Z$1&amp;CHAR(13))&amp;$W$1&amp;CHAR(13)&amp;$V$1&amp;Sheet1!E16&amp;CHAR(13)&amp;$X$1&amp;CHAR(13)&amp;$A16&amp;" = "&amp;Sheet1!A16&amp;",")</f>
        <v>/// &lt;summary&gt;_x000D_/// IN셔틀 P1 셀 겹침 확인되었습니다 (센서)_x000D_/// &lt;/summary&gt;_x000D_SE_IN_SHUTTLE_P1_SENSOR_OVERLAP = 10605,</v>
      </c>
    </row>
    <row r="17" spans="1:2" x14ac:dyDescent="0.3">
      <c r="A17" t="str">
        <f>IF(ISBLANK(Sheet1!C17),"",SUBSTITUTE(SUBSTITUTE(SUBSTITUTE(SUBSTITUTE(SUBSTITUTE(Sheet1!C17, " ", "_"), "-", "_"), "&amp;", "_"), "/", "_"), "#", "_"))</f>
        <v>VC_IN_SHUTTLE_P2_VACUUM</v>
      </c>
      <c r="B17" t="str">
        <f>IF(ISBLANK(Sheet1!A17)=TRUE,"",IF(EXACT(Sheet1!W16,Sheet1!W17)=TRUE,"",$Z$1&amp;CHAR(13)&amp;$AA$1&amp;Sheet1!W17&amp;CHAR(13)&amp;$Z$1&amp;CHAR(13))&amp;$W$1&amp;CHAR(13)&amp;$V$1&amp;Sheet1!E17&amp;CHAR(13)&amp;$X$1&amp;CHAR(13)&amp;$A17&amp;" = "&amp;Sheet1!A17&amp;",")</f>
        <v>/// &lt;summary&gt;_x000D_/// IN셔틀 P2 진공 흡착에 실패 했습니다_x000D_/// &lt;/summary&gt;_x000D_VC_IN_SHUTTLE_P2_VACUUM = 10610,</v>
      </c>
    </row>
    <row r="18" spans="1:2" x14ac:dyDescent="0.3">
      <c r="A18" t="str">
        <f>IF(ISBLANK(Sheet1!C18),"",SUBSTITUTE(SUBSTITUTE(SUBSTITUTE(SUBSTITUTE(SUBSTITUTE(Sheet1!C18, " ", "_"), "-", "_"), "&amp;", "_"), "/", "_"), "#", "_"))</f>
        <v>VC_IN_SHUTTLE_P2_BLOW</v>
      </c>
      <c r="B18" t="str">
        <f>IF(ISBLANK(Sheet1!A18)=TRUE,"",IF(EXACT(Sheet1!W17,Sheet1!W18)=TRUE,"",$Z$1&amp;CHAR(13)&amp;$AA$1&amp;Sheet1!W18&amp;CHAR(13)&amp;$Z$1&amp;CHAR(13))&amp;$W$1&amp;CHAR(13)&amp;$V$1&amp;Sheet1!E18&amp;CHAR(13)&amp;$X$1&amp;CHAR(13)&amp;$A18&amp;" = "&amp;Sheet1!A18&amp;",")</f>
        <v>/// &lt;summary&gt;_x000D_/// IN셔틀 P2 진공 파기에 실패 했습니다_x000D_/// &lt;/summary&gt;_x000D_VC_IN_SHUTTLE_P2_BLOW = 10611,</v>
      </c>
    </row>
    <row r="19" spans="1:2" x14ac:dyDescent="0.3">
      <c r="A19" t="str">
        <f>IF(ISBLANK(Sheet1!C19),"",SUBSTITUTE(SUBSTITUTE(SUBSTITUTE(SUBSTITUTE(SUBSTITUTE(Sheet1!C19, " ", "_"), "-", "_"), "&amp;", "_"), "/", "_"), "#", "_"))</f>
        <v>SE_IN_SHUTTLE_P2_VACUUM_CHECK</v>
      </c>
      <c r="B19" t="str">
        <f>IF(ISBLANK(Sheet1!A19)=TRUE,"",IF(EXACT(Sheet1!W18,Sheet1!W19)=TRUE,"",$Z$1&amp;CHAR(13)&amp;$AA$1&amp;Sheet1!W19&amp;CHAR(13)&amp;$Z$1&amp;CHAR(13))&amp;$W$1&amp;CHAR(13)&amp;$V$1&amp;Sheet1!E19&amp;CHAR(13)&amp;$X$1&amp;CHAR(13)&amp;$A19&amp;" = "&amp;Sheet1!A19&amp;",")</f>
        <v>/// &lt;summary&gt;_x000D_/// IN셔틀 P2 셀 확인에 실패 했습니다 (진공)_x000D_/// &lt;/summary&gt;_x000D_SE_IN_SHUTTLE_P2_VACUUM_CHECK = 10612,</v>
      </c>
    </row>
    <row r="20" spans="1:2" x14ac:dyDescent="0.3">
      <c r="A20" t="str">
        <f>IF(ISBLANK(Sheet1!C20),"",SUBSTITUTE(SUBSTITUTE(SUBSTITUTE(SUBSTITUTE(SUBSTITUTE(Sheet1!C20, " ", "_"), "-", "_"), "&amp;", "_"), "/", "_"), "#", "_"))</f>
        <v>SE_IN_SHUTTLE_P2_SENSOR_CHECK</v>
      </c>
      <c r="B20" t="str">
        <f>IF(ISBLANK(Sheet1!A20)=TRUE,"",IF(EXACT(Sheet1!W19,Sheet1!W20)=TRUE,"",$Z$1&amp;CHAR(13)&amp;$AA$1&amp;Sheet1!W20&amp;CHAR(13)&amp;$Z$1&amp;CHAR(13))&amp;$W$1&amp;CHAR(13)&amp;$V$1&amp;Sheet1!E20&amp;CHAR(13)&amp;$X$1&amp;CHAR(13)&amp;$A20&amp;" = "&amp;Sheet1!A20&amp;",")</f>
        <v>/// &lt;summary&gt;_x000D_/// IN셔틀 P2 셀 확인에 실패 했습니다 (센서)_x000D_/// &lt;/summary&gt;_x000D_SE_IN_SHUTTLE_P2_SENSOR_CHECK = 10613,</v>
      </c>
    </row>
    <row r="21" spans="1:2" x14ac:dyDescent="0.3">
      <c r="A21" t="str">
        <f>IF(ISBLANK(Sheet1!C21),"",SUBSTITUTE(SUBSTITUTE(SUBSTITUTE(SUBSTITUTE(SUBSTITUTE(Sheet1!C21, " ", "_"), "-", "_"), "&amp;", "_"), "/", "_"), "#", "_"))</f>
        <v>SE_IN_SHUTTLE_P2_VACUUM_OVERLAP</v>
      </c>
      <c r="B21" t="str">
        <f>IF(ISBLANK(Sheet1!A21)=TRUE,"",IF(EXACT(Sheet1!W20,Sheet1!W21)=TRUE,"",$Z$1&amp;CHAR(13)&amp;$AA$1&amp;Sheet1!W21&amp;CHAR(13)&amp;$Z$1&amp;CHAR(13))&amp;$W$1&amp;CHAR(13)&amp;$V$1&amp;Sheet1!E21&amp;CHAR(13)&amp;$X$1&amp;CHAR(13)&amp;$A21&amp;" = "&amp;Sheet1!A21&amp;",")</f>
        <v>/// &lt;summary&gt;_x000D_/// IN셔틀 P2 셀 겹침 확인되었습니다 (진공)_x000D_/// &lt;/summary&gt;_x000D_SE_IN_SHUTTLE_P2_VACUUM_OVERLAP = 10614,</v>
      </c>
    </row>
    <row r="22" spans="1:2" x14ac:dyDescent="0.3">
      <c r="A22" t="str">
        <f>IF(ISBLANK(Sheet1!C22),"",SUBSTITUTE(SUBSTITUTE(SUBSTITUTE(SUBSTITUTE(SUBSTITUTE(Sheet1!C22, " ", "_"), "-", "_"), "&amp;", "_"), "/", "_"), "#", "_"))</f>
        <v>SE_IN_SHUTTLE_P2_SENSOR_OVERLAP</v>
      </c>
      <c r="B22" t="str">
        <f>IF(ISBLANK(Sheet1!A22)=TRUE,"",IF(EXACT(Sheet1!W21,Sheet1!W22)=TRUE,"",$Z$1&amp;CHAR(13)&amp;$AA$1&amp;Sheet1!W22&amp;CHAR(13)&amp;$Z$1&amp;CHAR(13))&amp;$W$1&amp;CHAR(13)&amp;$V$1&amp;Sheet1!E22&amp;CHAR(13)&amp;$X$1&amp;CHAR(13)&amp;$A22&amp;" = "&amp;Sheet1!A22&amp;",")</f>
        <v>/// &lt;summary&gt;_x000D_/// IN셔틀 P2 셀 겹침 확인되었습니다 (센서)_x000D_/// &lt;/summary&gt;_x000D_SE_IN_SHUTTLE_P2_SENSOR_OVERLAP = 10615,</v>
      </c>
    </row>
    <row r="23" spans="1:2" x14ac:dyDescent="0.3">
      <c r="A23" t="str">
        <f>IF(ISBLANK(Sheet1!C23),"",SUBSTITUTE(SUBSTITUTE(SUBSTITUTE(SUBSTITUTE(SUBSTITUTE(Sheet1!C23, " ", "_"), "-", "_"), "&amp;", "_"), "/", "_"), "#", "_"))</f>
        <v>MO_TRANSFER_ROBOT_IN_N_INITIALIZE</v>
      </c>
      <c r="B23" t="str">
        <f>IF(ISBLANK(Sheet1!A23)=TRUE,"",IF(EXACT(Sheet1!W22,Sheet1!W23)=TRUE,"",$Z$1&amp;CHAR(13)&amp;$AA$1&amp;Sheet1!W23&amp;CHAR(13)&amp;$Z$1&amp;CHAR(13))&amp;$W$1&amp;CHAR(13)&amp;$V$1&amp;Sheet1!E23&amp;CHAR(13)&amp;$X$1&amp;CHAR(13)&amp;$A23&amp;" = "&amp;Sheet1!A23&amp;",")</f>
        <v>//////////////////////////////////////////////////////////////////////////_x000D_// IN_ROBOT_x000D_//////////////////////////////////////////////////////////////////////////_x000D_/// &lt;summary&gt;_x000D_/// IN로봇 초기화 동작에 실패 했습니다_x000D_/// &lt;/summary&gt;_x000D_MO_TRANSFER_ROBOT_IN_N_INITIALIZE = 11000,</v>
      </c>
    </row>
    <row r="24" spans="1:2" x14ac:dyDescent="0.3">
      <c r="A24" t="str">
        <f>IF(ISBLANK(Sheet1!C24),"",SUBSTITUTE(SUBSTITUTE(SUBSTITUTE(SUBSTITUTE(SUBSTITUTE(Sheet1!C24, " ", "_"), "-", "_"), "&amp;", "_"), "/", "_"), "#", "_"))</f>
        <v>MO_TRANSFER_ROBOT_IN_PROCESS_SKIP</v>
      </c>
      <c r="B24" t="str">
        <f>IF(ISBLANK(Sheet1!A24)=TRUE,"",IF(EXACT(Sheet1!W23,Sheet1!W24)=TRUE,"",$Z$1&amp;CHAR(13)&amp;$AA$1&amp;Sheet1!W24&amp;CHAR(13)&amp;$Z$1&amp;CHAR(13))&amp;$W$1&amp;CHAR(13)&amp;$V$1&amp;Sheet1!E24&amp;CHAR(13)&amp;$X$1&amp;CHAR(13)&amp;$A24&amp;" = "&amp;Sheet1!A24&amp;",")</f>
        <v>/// &lt;summary&gt;_x000D_/// IN로봇 동작중인 프로세스 스킵에 실패 했습니다_x000D_/// &lt;/summary&gt;_x000D_MO_TRANSFER_ROBOT_IN_PROCESS_SKIP = 11001,</v>
      </c>
    </row>
    <row r="25" spans="1:2" x14ac:dyDescent="0.3">
      <c r="A25" t="str">
        <f>IF(ISBLANK(Sheet1!C25),"",SUBSTITUTE(SUBSTITUTE(SUBSTITUTE(SUBSTITUTE(SUBSTITUTE(Sheet1!C25, " ", "_"), "-", "_"), "&amp;", "_"), "/", "_"), "#", "_"))</f>
        <v>MO_TRANSFER_ROBOT_IN_ENTER_JCM_MODE</v>
      </c>
      <c r="B25" t="str">
        <f>IF(ISBLANK(Sheet1!A25)=TRUE,"",IF(EXACT(Sheet1!W24,Sheet1!W25)=TRUE,"",$Z$1&amp;CHAR(13)&amp;$AA$1&amp;Sheet1!W25&amp;CHAR(13)&amp;$Z$1&amp;CHAR(13))&amp;$W$1&amp;CHAR(13)&amp;$V$1&amp;Sheet1!E25&amp;CHAR(13)&amp;$X$1&amp;CHAR(13)&amp;$A25&amp;" = "&amp;Sheet1!A25&amp;",")</f>
        <v>/// &lt;summary&gt;_x000D_/// IN로봇 JCM 모드 진입(ENTER)에 실패 했습니다. _x000D_/// &lt;/summary&gt;_x000D_MO_TRANSFER_ROBOT_IN_ENTER_JCM_MODE = 11002,</v>
      </c>
    </row>
    <row r="26" spans="1:2" x14ac:dyDescent="0.3">
      <c r="A26" t="str">
        <f>IF(ISBLANK(Sheet1!C26),"",SUBSTITUTE(SUBSTITUTE(SUBSTITUTE(SUBSTITUTE(SUBSTITUTE(Sheet1!C26, " ", "_"), "-", "_"), "&amp;", "_"), "/", "_"), "#", "_"))</f>
        <v>MO_TRANSFER_ROBOT_IN_JCM_MODE_MOVE</v>
      </c>
      <c r="B26" t="str">
        <f>IF(ISBLANK(Sheet1!A26)=TRUE,"",IF(EXACT(Sheet1!W25,Sheet1!W26)=TRUE,"",$Z$1&amp;CHAR(13)&amp;$AA$1&amp;Sheet1!W26&amp;CHAR(13)&amp;$Z$1&amp;CHAR(13))&amp;$W$1&amp;CHAR(13)&amp;$V$1&amp;Sheet1!E26&amp;CHAR(13)&amp;$X$1&amp;CHAR(13)&amp;$A26&amp;" = "&amp;Sheet1!A26&amp;",")</f>
        <v>/// &lt;summary&gt;_x000D_/// IN로봇 JCM 모드 이동(MOVE)에 실패 했습니다._x000D_/// &lt;/summary&gt;_x000D_MO_TRANSFER_ROBOT_IN_JCM_MODE_MOVE = 11003,</v>
      </c>
    </row>
    <row r="27" spans="1:2" x14ac:dyDescent="0.3">
      <c r="A27" t="str">
        <f>IF(ISBLANK(Sheet1!C27),"",SUBSTITUTE(SUBSTITUTE(SUBSTITUTE(SUBSTITUTE(SUBSTITUTE(Sheet1!C27, " ", "_"), "-", "_"), "&amp;", "_"), "/", "_"), "#", "_"))</f>
        <v>MO_TRANSFER_ROBOT_IN_EXIT_JCM_MODE</v>
      </c>
      <c r="B27" t="str">
        <f>IF(ISBLANK(Sheet1!A27)=TRUE,"",IF(EXACT(Sheet1!W26,Sheet1!W27)=TRUE,"",$Z$1&amp;CHAR(13)&amp;$AA$1&amp;Sheet1!W27&amp;CHAR(13)&amp;$Z$1&amp;CHAR(13))&amp;$W$1&amp;CHAR(13)&amp;$V$1&amp;Sheet1!E27&amp;CHAR(13)&amp;$X$1&amp;CHAR(13)&amp;$A27&amp;" = "&amp;Sheet1!A27&amp;",")</f>
        <v>/// &lt;summary&gt;_x000D_/// IN로봇 JCM 모드 출입(EXIT)에 실패 했습니다. _x000D_/// &lt;/summary&gt;_x000D_MO_TRANSFER_ROBOT_IN_EXIT_JCM_MODE = 11004,</v>
      </c>
    </row>
    <row r="28" spans="1:2" x14ac:dyDescent="0.3">
      <c r="A28" t="str">
        <f>IF(ISBLANK(Sheet1!C28),"",SUBSTITUTE(SUBSTITUTE(SUBSTITUTE(SUBSTITUTE(SUBSTITUTE(Sheet1!C28, " ", "_"), "-", "_"), "&amp;", "_"), "/", "_"), "#", "_"))</f>
        <v>MO_TRANSFER_ROBOT_IN_LOAD_BEGIN</v>
      </c>
      <c r="B28" t="str">
        <f>IF(ISBLANK(Sheet1!A28)=TRUE,"",IF(EXACT(Sheet1!W27,Sheet1!W28)=TRUE,"",$Z$1&amp;CHAR(13)&amp;$AA$1&amp;Sheet1!W28&amp;CHAR(13)&amp;$Z$1&amp;CHAR(13))&amp;$W$1&amp;CHAR(13)&amp;$V$1&amp;Sheet1!E28&amp;CHAR(13)&amp;$X$1&amp;CHAR(13)&amp;$A28&amp;" = "&amp;Sheet1!A28&amp;",")</f>
        <v>/// &lt;summary&gt;_x000D_/// IN로봇 로드 프로세스 진입에 실패 했습니다 (IN셔틀 위치)_x000D_/// &lt;/summary&gt;_x000D_MO_TRANSFER_ROBOT_IN_LOAD_BEGIN = 11005,</v>
      </c>
    </row>
    <row r="29" spans="1:2" x14ac:dyDescent="0.3">
      <c r="A29" t="str">
        <f>IF(ISBLANK(Sheet1!C29),"",SUBSTITUTE(SUBSTITUTE(SUBSTITUTE(SUBSTITUTE(SUBSTITUTE(Sheet1!C29, " ", "_"), "-", "_"), "&amp;", "_"), "/", "_"), "#", "_"))</f>
        <v>MO_TRANSFER_ROBOT_IN_LOAD_PERMIT</v>
      </c>
      <c r="B29" t="str">
        <f>IF(ISBLANK(Sheet1!A29)=TRUE,"",IF(EXACT(Sheet1!W28,Sheet1!W29)=TRUE,"",$Z$1&amp;CHAR(13)&amp;$AA$1&amp;Sheet1!W29&amp;CHAR(13)&amp;$Z$1&amp;CHAR(13))&amp;$W$1&amp;CHAR(13)&amp;$V$1&amp;Sheet1!E29&amp;CHAR(13)&amp;$X$1&amp;CHAR(13)&amp;$A29&amp;" = "&amp;Sheet1!A29&amp;",")</f>
        <v>/// &lt;summary&gt;_x000D_/// IN로봇 로드 프로세스 퍼밋 동작에 실패 했습니다 (IN셔틀 위치)_x000D_/// &lt;/summary&gt;_x000D_MO_TRANSFER_ROBOT_IN_LOAD_PERMIT = 11006,</v>
      </c>
    </row>
    <row r="30" spans="1:2" x14ac:dyDescent="0.3">
      <c r="A30" t="str">
        <f>IF(ISBLANK(Sheet1!C30),"",SUBSTITUTE(SUBSTITUTE(SUBSTITUTE(SUBSTITUTE(SUBSTITUTE(Sheet1!C30, " ", "_"), "-", "_"), "&amp;", "_"), "/", "_"), "#", "_"))</f>
        <v>MO_TRANSFER_ROBOT_IN_LOAD_EXIT</v>
      </c>
      <c r="B30" t="str">
        <f>IF(ISBLANK(Sheet1!A30)=TRUE,"",IF(EXACT(Sheet1!W29,Sheet1!W30)=TRUE,"",$Z$1&amp;CHAR(13)&amp;$AA$1&amp;Sheet1!W30&amp;CHAR(13)&amp;$Z$1&amp;CHAR(13))&amp;$W$1&amp;CHAR(13)&amp;$V$1&amp;Sheet1!E30&amp;CHAR(13)&amp;$X$1&amp;CHAR(13)&amp;$A30&amp;" = "&amp;Sheet1!A30&amp;",")</f>
        <v>/// &lt;summary&gt;_x000D_/// IN로봇 로트 프로세스 종료에 실패 했습니다 (IN셔틀 위치)_x000D_/// &lt;/summary&gt;_x000D_MO_TRANSFER_ROBOT_IN_LOAD_EXIT = 11007,</v>
      </c>
    </row>
    <row r="31" spans="1:2" x14ac:dyDescent="0.3">
      <c r="A31" t="str">
        <f>IF(ISBLANK(Sheet1!C31),"",SUBSTITUTE(SUBSTITUTE(SUBSTITUTE(SUBSTITUTE(SUBSTITUTE(Sheet1!C31, " ", "_"), "-", "_"), "&amp;", "_"), "/", "_"), "#", "_"))</f>
        <v>MO_TRANSFER_ROBOT_IN_MCR_BEGIN</v>
      </c>
      <c r="B31" t="str">
        <f>IF(ISBLANK(Sheet1!A31)=TRUE,"",IF(EXACT(Sheet1!W30,Sheet1!W31)=TRUE,"",$Z$1&amp;CHAR(13)&amp;$AA$1&amp;Sheet1!W31&amp;CHAR(13)&amp;$Z$1&amp;CHAR(13))&amp;$W$1&amp;CHAR(13)&amp;$V$1&amp;Sheet1!E31&amp;CHAR(13)&amp;$X$1&amp;CHAR(13)&amp;$A31&amp;" = "&amp;Sheet1!A31&amp;",")</f>
        <v>/// &lt;summary&gt;_x000D_/// IN로봇 MCR 프로세스 진입에 실패 했습니다_x000D_/// &lt;/summary&gt;_x000D_MO_TRANSFER_ROBOT_IN_MCR_BEGIN = 11008,</v>
      </c>
    </row>
    <row r="32" spans="1:2" x14ac:dyDescent="0.3">
      <c r="A32" t="str">
        <f>IF(ISBLANK(Sheet1!C32),"",SUBSTITUTE(SUBSTITUTE(SUBSTITUTE(SUBSTITUTE(SUBSTITUTE(Sheet1!C32, " ", "_"), "-", "_"), "&amp;", "_"), "/", "_"), "#", "_"))</f>
        <v>MO_TRANSFER_ROBOT_IN_MCR_PERMIT</v>
      </c>
      <c r="B32" t="str">
        <f>IF(ISBLANK(Sheet1!A32)=TRUE,"",IF(EXACT(Sheet1!W31,Sheet1!W32)=TRUE,"",$Z$1&amp;CHAR(13)&amp;$AA$1&amp;Sheet1!W32&amp;CHAR(13)&amp;$Z$1&amp;CHAR(13))&amp;$W$1&amp;CHAR(13)&amp;$V$1&amp;Sheet1!E32&amp;CHAR(13)&amp;$X$1&amp;CHAR(13)&amp;$A32&amp;" = "&amp;Sheet1!A32&amp;",")</f>
        <v>/// &lt;summary&gt;_x000D_/// IN로봇 MCR 프로세스 퍼밋 동작에 실패 했습니다_x000D_/// &lt;/summary&gt;_x000D_MO_TRANSFER_ROBOT_IN_MCR_PERMIT = 11009,</v>
      </c>
    </row>
    <row r="33" spans="1:2" x14ac:dyDescent="0.3">
      <c r="A33" t="str">
        <f>IF(ISBLANK(Sheet1!C33),"",SUBSTITUTE(SUBSTITUTE(SUBSTITUTE(SUBSTITUTE(SUBSTITUTE(Sheet1!C33, " ", "_"), "-", "_"), "&amp;", "_"), "/", "_"), "#", "_"))</f>
        <v>MO_TRANSFER_ROBOT_IN_MCR_EXIT</v>
      </c>
      <c r="B33" t="str">
        <f>IF(ISBLANK(Sheet1!A33)=TRUE,"",IF(EXACT(Sheet1!W32,Sheet1!W33)=TRUE,"",$Z$1&amp;CHAR(13)&amp;$AA$1&amp;Sheet1!W33&amp;CHAR(13)&amp;$Z$1&amp;CHAR(13))&amp;$W$1&amp;CHAR(13)&amp;$V$1&amp;Sheet1!E33&amp;CHAR(13)&amp;$X$1&amp;CHAR(13)&amp;$A33&amp;" = "&amp;Sheet1!A33&amp;",")</f>
        <v>/// &lt;summary&gt;_x000D_/// IN로봇 MCR 프로세스 종료에 실패 했습니다_x000D_/// &lt;/summary&gt;_x000D_MO_TRANSFER_ROBOT_IN_MCR_EXIT = 11010,</v>
      </c>
    </row>
    <row r="34" spans="1:2" x14ac:dyDescent="0.3">
      <c r="A34" t="str">
        <f>IF(ISBLANK(Sheet1!C34),"",SUBSTITUTE(SUBSTITUTE(SUBSTITUTE(SUBSTITUTE(SUBSTITUTE(Sheet1!C34, " ", "_"), "-", "_"), "&amp;", "_"), "/", "_"), "#", "_"))</f>
        <v>MO_TRANSFER_ROBOT_IN_UNLOAD_BEGIN</v>
      </c>
      <c r="B34" t="str">
        <f>IF(ISBLANK(Sheet1!A34)=TRUE,"",IF(EXACT(Sheet1!W33,Sheet1!W34)=TRUE,"",$Z$1&amp;CHAR(13)&amp;$AA$1&amp;Sheet1!W34&amp;CHAR(13)&amp;$Z$1&amp;CHAR(13))&amp;$W$1&amp;CHAR(13)&amp;$V$1&amp;Sheet1!E34&amp;CHAR(13)&amp;$X$1&amp;CHAR(13)&amp;$A34&amp;" = "&amp;Sheet1!A34&amp;",")</f>
        <v>/// &lt;summary&gt;_x000D_/// IN로봇 언로드 프로세스 진입에 실패 했습니다 (검사스테이지 위치)_x000D_/// &lt;/summary&gt;_x000D_MO_TRANSFER_ROBOT_IN_UNLOAD_BEGIN = 11011,</v>
      </c>
    </row>
    <row r="35" spans="1:2" x14ac:dyDescent="0.3">
      <c r="A35" t="str">
        <f>IF(ISBLANK(Sheet1!C35),"",SUBSTITUTE(SUBSTITUTE(SUBSTITUTE(SUBSTITUTE(SUBSTITUTE(Sheet1!C35, " ", "_"), "-", "_"), "&amp;", "_"), "/", "_"), "#", "_"))</f>
        <v>MO_TRANSFER_ROBOT_IN_UNLOAD_PERMIT</v>
      </c>
      <c r="B35" t="str">
        <f>IF(ISBLANK(Sheet1!A35)=TRUE,"",IF(EXACT(Sheet1!W34,Sheet1!W35)=TRUE,"",$Z$1&amp;CHAR(13)&amp;$AA$1&amp;Sheet1!W35&amp;CHAR(13)&amp;$Z$1&amp;CHAR(13))&amp;$W$1&amp;CHAR(13)&amp;$V$1&amp;Sheet1!E35&amp;CHAR(13)&amp;$X$1&amp;CHAR(13)&amp;$A35&amp;" = "&amp;Sheet1!A35&amp;",")</f>
        <v>/// &lt;summary&gt;_x000D_/// IN로봇 언로드 프로세스 퍼밋 동작에 실패 했습니다 (검사스테이지 위치)_x000D_/// &lt;/summary&gt;_x000D_MO_TRANSFER_ROBOT_IN_UNLOAD_PERMIT = 11012,</v>
      </c>
    </row>
    <row r="36" spans="1:2" x14ac:dyDescent="0.3">
      <c r="A36" t="str">
        <f>IF(ISBLANK(Sheet1!C36),"",SUBSTITUTE(SUBSTITUTE(SUBSTITUTE(SUBSTITUTE(SUBSTITUTE(Sheet1!C36, " ", "_"), "-", "_"), "&amp;", "_"), "/", "_"), "#", "_"))</f>
        <v>MO_TRANSFER_ROBOT_IN_UNLOAD_EXIT</v>
      </c>
      <c r="B36" t="str">
        <f>IF(ISBLANK(Sheet1!A36)=TRUE,"",IF(EXACT(Sheet1!W35,Sheet1!W36)=TRUE,"",$Z$1&amp;CHAR(13)&amp;$AA$1&amp;Sheet1!W36&amp;CHAR(13)&amp;$Z$1&amp;CHAR(13))&amp;$W$1&amp;CHAR(13)&amp;$V$1&amp;Sheet1!E36&amp;CHAR(13)&amp;$X$1&amp;CHAR(13)&amp;$A36&amp;" = "&amp;Sheet1!A36&amp;",")</f>
        <v>/// &lt;summary&gt;_x000D_/// IN로봇 언로드 프로세스 종료에 실패 했습니다 (검사스테이지 위치)_x000D_/// &lt;/summary&gt;_x000D_MO_TRANSFER_ROBOT_IN_UNLOAD_EXIT = 11013,</v>
      </c>
    </row>
    <row r="37" spans="1:2" x14ac:dyDescent="0.3">
      <c r="A37" t="str">
        <f>IF(ISBLANK(Sheet1!C37),"",SUBSTITUTE(SUBSTITUTE(SUBSTITUTE(SUBSTITUTE(SUBSTITUTE(Sheet1!C37, " ", "_"), "-", "_"), "&amp;", "_"), "/", "_"), "#", "_"))</f>
        <v>CY_TRANSFER_ROBOT_IN_P1_T_TURN</v>
      </c>
      <c r="B37" t="str">
        <f>IF(ISBLANK(Sheet1!A37)=TRUE,"",IF(EXACT(Sheet1!W36,Sheet1!W37)=TRUE,"",$Z$1&amp;CHAR(13)&amp;$AA$1&amp;Sheet1!W37&amp;CHAR(13)&amp;$Z$1&amp;CHAR(13))&amp;$W$1&amp;CHAR(13)&amp;$V$1&amp;Sheet1!E37&amp;CHAR(13)&amp;$X$1&amp;CHAR(13)&amp;$A37&amp;" = "&amp;Sheet1!A37&amp;",")</f>
        <v>/// &lt;summary&gt;_x000D_/// IN로봇 실린더 P1 회전 동작에 실패 했습니다_x000D_/// &lt;/summary&gt;_x000D_CY_TRANSFER_ROBOT_IN_P1_T_TURN = 11100,</v>
      </c>
    </row>
    <row r="38" spans="1:2" x14ac:dyDescent="0.3">
      <c r="A38" t="str">
        <f>IF(ISBLANK(Sheet1!C38),"",SUBSTITUTE(SUBSTITUTE(SUBSTITUTE(SUBSTITUTE(SUBSTITUTE(Sheet1!C38, " ", "_"), "-", "_"), "&amp;", "_"), "/", "_"), "#", "_"))</f>
        <v>CY_TRANSFER_ROBOT_IN_P1_T_RETURN</v>
      </c>
      <c r="B38" t="str">
        <f>IF(ISBLANK(Sheet1!A38)=TRUE,"",IF(EXACT(Sheet1!W37,Sheet1!W38)=TRUE,"",$Z$1&amp;CHAR(13)&amp;$AA$1&amp;Sheet1!W38&amp;CHAR(13)&amp;$Z$1&amp;CHAR(13))&amp;$W$1&amp;CHAR(13)&amp;$V$1&amp;Sheet1!E38&amp;CHAR(13)&amp;$X$1&amp;CHAR(13)&amp;$A38&amp;" = "&amp;Sheet1!A38&amp;",")</f>
        <v>/// &lt;summary&gt;_x000D_/// IN로봇 실린더 P1 복귀 동작에 실패 했습니다_x000D_/// &lt;/summary&gt;_x000D_CY_TRANSFER_ROBOT_IN_P1_T_RETURN = 11101,</v>
      </c>
    </row>
    <row r="39" spans="1:2" x14ac:dyDescent="0.3">
      <c r="A39" t="str">
        <f>IF(ISBLANK(Sheet1!C39),"",SUBSTITUTE(SUBSTITUTE(SUBSTITUTE(SUBSTITUTE(SUBSTITUTE(Sheet1!C39, " ", "_"), "-", "_"), "&amp;", "_"), "/", "_"), "#", "_"))</f>
        <v>CY_TRANSFER_ROBOT_IN_P2_T_TURN</v>
      </c>
      <c r="B39" t="str">
        <f>IF(ISBLANK(Sheet1!A39)=TRUE,"",IF(EXACT(Sheet1!W38,Sheet1!W39)=TRUE,"",$Z$1&amp;CHAR(13)&amp;$AA$1&amp;Sheet1!W39&amp;CHAR(13)&amp;$Z$1&amp;CHAR(13))&amp;$W$1&amp;CHAR(13)&amp;$V$1&amp;Sheet1!E39&amp;CHAR(13)&amp;$X$1&amp;CHAR(13)&amp;$A39&amp;" = "&amp;Sheet1!A39&amp;",")</f>
        <v>/// &lt;summary&gt;_x000D_/// IN로봇 실린더 P2 회전 동작에 실패 했습니다_x000D_/// &lt;/summary&gt;_x000D_CY_TRANSFER_ROBOT_IN_P2_T_TURN = 11110,</v>
      </c>
    </row>
    <row r="40" spans="1:2" x14ac:dyDescent="0.3">
      <c r="A40" t="str">
        <f>IF(ISBLANK(Sheet1!C40),"",SUBSTITUTE(SUBSTITUTE(SUBSTITUTE(SUBSTITUTE(SUBSTITUTE(Sheet1!C40, " ", "_"), "-", "_"), "&amp;", "_"), "/", "_"), "#", "_"))</f>
        <v>CY_TRANSFER_ROBOT_IN_P2_T_RETURN</v>
      </c>
      <c r="B40" t="str">
        <f>IF(ISBLANK(Sheet1!A40)=TRUE,"",IF(EXACT(Sheet1!W39,Sheet1!W40)=TRUE,"",$Z$1&amp;CHAR(13)&amp;$AA$1&amp;Sheet1!W40&amp;CHAR(13)&amp;$Z$1&amp;CHAR(13))&amp;$W$1&amp;CHAR(13)&amp;$V$1&amp;Sheet1!E40&amp;CHAR(13)&amp;$X$1&amp;CHAR(13)&amp;$A40&amp;" = "&amp;Sheet1!A40&amp;",")</f>
        <v>/// &lt;summary&gt;_x000D_/// IN로봇 실린더 P2 복귀 동작에 실패 했습니다_x000D_/// &lt;/summary&gt;_x000D_CY_TRANSFER_ROBOT_IN_P2_T_RETURN = 11111,</v>
      </c>
    </row>
    <row r="41" spans="1:2" x14ac:dyDescent="0.3">
      <c r="A41" t="str">
        <f>IF(ISBLANK(Sheet1!C41),"",SUBSTITUTE(SUBSTITUTE(SUBSTITUTE(SUBSTITUTE(SUBSTITUTE(Sheet1!C41, " ", "_"), "-", "_"), "&amp;", "_"), "/", "_"), "#", "_"))</f>
        <v>VC_TRANSFER_ROBOT_IN_P1_VACUUM</v>
      </c>
      <c r="B41" t="str">
        <f>IF(ISBLANK(Sheet1!A41)=TRUE,"",IF(EXACT(Sheet1!W40,Sheet1!W41)=TRUE,"",$Z$1&amp;CHAR(13)&amp;$AA$1&amp;Sheet1!W41&amp;CHAR(13)&amp;$Z$1&amp;CHAR(13))&amp;$W$1&amp;CHAR(13)&amp;$V$1&amp;Sheet1!E41&amp;CHAR(13)&amp;$X$1&amp;CHAR(13)&amp;$A41&amp;" = "&amp;Sheet1!A41&amp;",")</f>
        <v>/// &lt;summary&gt;_x000D_/// IN로봇 피커 P1 흡착에 실패 했습니다_x000D_/// &lt;/summary&gt;_x000D_VC_TRANSFER_ROBOT_IN_P1_VACUUM = 11120,</v>
      </c>
    </row>
    <row r="42" spans="1:2" x14ac:dyDescent="0.3">
      <c r="A42" t="str">
        <f>IF(ISBLANK(Sheet1!C42),"",SUBSTITUTE(SUBSTITUTE(SUBSTITUTE(SUBSTITUTE(SUBSTITUTE(Sheet1!C42, " ", "_"), "-", "_"), "&amp;", "_"), "/", "_"), "#", "_"))</f>
        <v>VC_TRANSFER_ROBOT_IN_P1_BLOW</v>
      </c>
      <c r="B42" t="str">
        <f>IF(ISBLANK(Sheet1!A42)=TRUE,"",IF(EXACT(Sheet1!W41,Sheet1!W42)=TRUE,"",$Z$1&amp;CHAR(13)&amp;$AA$1&amp;Sheet1!W42&amp;CHAR(13)&amp;$Z$1&amp;CHAR(13))&amp;$W$1&amp;CHAR(13)&amp;$V$1&amp;Sheet1!E42&amp;CHAR(13)&amp;$X$1&amp;CHAR(13)&amp;$A42&amp;" = "&amp;Sheet1!A42&amp;",")</f>
        <v>/// &lt;summary&gt;_x000D_/// IN로봇 피커 P1 파기에 실패 했습니다_x000D_/// &lt;/summary&gt;_x000D_VC_TRANSFER_ROBOT_IN_P1_BLOW = 11121,</v>
      </c>
    </row>
    <row r="43" spans="1:2" x14ac:dyDescent="0.3">
      <c r="A43" t="str">
        <f>IF(ISBLANK(Sheet1!C43),"",SUBSTITUTE(SUBSTITUTE(SUBSTITUTE(SUBSTITUTE(SUBSTITUTE(Sheet1!C43, " ", "_"), "-", "_"), "&amp;", "_"), "/", "_"), "#", "_"))</f>
        <v>SE_TRANSFER_ROBOT_IN_P1_VACUUM_CHECK</v>
      </c>
      <c r="B43" t="str">
        <f>IF(ISBLANK(Sheet1!A43)=TRUE,"",IF(EXACT(Sheet1!W42,Sheet1!W43)=TRUE,"",$Z$1&amp;CHAR(13)&amp;$AA$1&amp;Sheet1!W43&amp;CHAR(13)&amp;$Z$1&amp;CHAR(13))&amp;$W$1&amp;CHAR(13)&amp;$V$1&amp;Sheet1!E43&amp;CHAR(13)&amp;$X$1&amp;CHAR(13)&amp;$A43&amp;" = "&amp;Sheet1!A43&amp;",")</f>
        <v>/// &lt;summary&gt;_x000D_/// IN로봇 P1 셀 확인에 실패 했습니다 (진공)_x000D_/// &lt;/summary&gt;_x000D_SE_TRANSFER_ROBOT_IN_P1_VACUUM_CHECK = 11122,</v>
      </c>
    </row>
    <row r="44" spans="1:2" x14ac:dyDescent="0.3">
      <c r="A44" t="str">
        <f>IF(ISBLANK(Sheet1!C44),"",SUBSTITUTE(SUBSTITUTE(SUBSTITUTE(SUBSTITUTE(SUBSTITUTE(Sheet1!C44, " ", "_"), "-", "_"), "&amp;", "_"), "/", "_"), "#", "_"))</f>
        <v>SE_TRANSFER_ROBOT_IN_P1_SENSOR_CHECK</v>
      </c>
      <c r="B44" t="str">
        <f>IF(ISBLANK(Sheet1!A44)=TRUE,"",IF(EXACT(Sheet1!W43,Sheet1!W44)=TRUE,"",$Z$1&amp;CHAR(13)&amp;$AA$1&amp;Sheet1!W44&amp;CHAR(13)&amp;$Z$1&amp;CHAR(13))&amp;$W$1&amp;CHAR(13)&amp;$V$1&amp;Sheet1!E44&amp;CHAR(13)&amp;$X$1&amp;CHAR(13)&amp;$A44&amp;" = "&amp;Sheet1!A44&amp;",")</f>
        <v>/// &lt;summary&gt;_x000D_/// IN로봇 P1 셀 확인에 실패 했습니다 (센서)_x000D_/// &lt;/summary&gt;_x000D_SE_TRANSFER_ROBOT_IN_P1_SENSOR_CHECK = 11123,</v>
      </c>
    </row>
    <row r="45" spans="1:2" x14ac:dyDescent="0.3">
      <c r="A45" t="str">
        <f>IF(ISBLANK(Sheet1!C45),"",SUBSTITUTE(SUBSTITUTE(SUBSTITUTE(SUBSTITUTE(SUBSTITUTE(Sheet1!C45, " ", "_"), "-", "_"), "&amp;", "_"), "/", "_"), "#", "_"))</f>
        <v>SE_TRANSFER_ROBOT_IN_P1_VACUUM_OVERLAP</v>
      </c>
      <c r="B45" t="str">
        <f>IF(ISBLANK(Sheet1!A45)=TRUE,"",IF(EXACT(Sheet1!W44,Sheet1!W45)=TRUE,"",$Z$1&amp;CHAR(13)&amp;$AA$1&amp;Sheet1!W45&amp;CHAR(13)&amp;$Z$1&amp;CHAR(13))&amp;$W$1&amp;CHAR(13)&amp;$V$1&amp;Sheet1!E45&amp;CHAR(13)&amp;$X$1&amp;CHAR(13)&amp;$A45&amp;" = "&amp;Sheet1!A45&amp;",")</f>
        <v>/// &lt;summary&gt;_x000D_/// IN로봇 P1 셀 겹침 확인되었습니다 (진공)_x000D_/// &lt;/summary&gt;_x000D_SE_TRANSFER_ROBOT_IN_P1_VACUUM_OVERLAP = 11124,</v>
      </c>
    </row>
    <row r="46" spans="1:2" x14ac:dyDescent="0.3">
      <c r="A46" t="str">
        <f>IF(ISBLANK(Sheet1!C46),"",SUBSTITUTE(SUBSTITUTE(SUBSTITUTE(SUBSTITUTE(SUBSTITUTE(Sheet1!C46, " ", "_"), "-", "_"), "&amp;", "_"), "/", "_"), "#", "_"))</f>
        <v>SE_TRANSFER_ROBOT_IN_P1_SENSOR_OVERLAP</v>
      </c>
      <c r="B46" t="str">
        <f>IF(ISBLANK(Sheet1!A46)=TRUE,"",IF(EXACT(Sheet1!W45,Sheet1!W46)=TRUE,"",$Z$1&amp;CHAR(13)&amp;$AA$1&amp;Sheet1!W46&amp;CHAR(13)&amp;$Z$1&amp;CHAR(13))&amp;$W$1&amp;CHAR(13)&amp;$V$1&amp;Sheet1!E46&amp;CHAR(13)&amp;$X$1&amp;CHAR(13)&amp;$A46&amp;" = "&amp;Sheet1!A46&amp;",")</f>
        <v>/// &lt;summary&gt;_x000D_/// IN로봇 P1 셀 겹침 확인되었습니다 (센서)_x000D_/// &lt;/summary&gt;_x000D_SE_TRANSFER_ROBOT_IN_P1_SENSOR_OVERLAP = 11125,</v>
      </c>
    </row>
    <row r="47" spans="1:2" x14ac:dyDescent="0.3">
      <c r="A47" t="str">
        <f>IF(ISBLANK(Sheet1!C47),"",SUBSTITUTE(SUBSTITUTE(SUBSTITUTE(SUBSTITUTE(SUBSTITUTE(Sheet1!C47, " ", "_"), "-", "_"), "&amp;", "_"), "/", "_"), "#", "_"))</f>
        <v>VC_TRANSFER_ROBOT_IN_P2_VACUUM</v>
      </c>
      <c r="B47" t="str">
        <f>IF(ISBLANK(Sheet1!A47)=TRUE,"",IF(EXACT(Sheet1!W46,Sheet1!W47)=TRUE,"",$Z$1&amp;CHAR(13)&amp;$AA$1&amp;Sheet1!W47&amp;CHAR(13)&amp;$Z$1&amp;CHAR(13))&amp;$W$1&amp;CHAR(13)&amp;$V$1&amp;Sheet1!E47&amp;CHAR(13)&amp;$X$1&amp;CHAR(13)&amp;$A47&amp;" = "&amp;Sheet1!A47&amp;",")</f>
        <v>/// &lt;summary&gt;_x000D_/// IN로봇 피커 P2 흡착에 실패 했습니다_x000D_/// &lt;/summary&gt;_x000D_VC_TRANSFER_ROBOT_IN_P2_VACUUM = 11130,</v>
      </c>
    </row>
    <row r="48" spans="1:2" x14ac:dyDescent="0.3">
      <c r="A48" t="str">
        <f>IF(ISBLANK(Sheet1!C48),"",SUBSTITUTE(SUBSTITUTE(SUBSTITUTE(SUBSTITUTE(SUBSTITUTE(Sheet1!C48, " ", "_"), "-", "_"), "&amp;", "_"), "/", "_"), "#", "_"))</f>
        <v>VC_TRANSFER_ROBOT_IN_P2_BLOW</v>
      </c>
      <c r="B48" t="str">
        <f>IF(ISBLANK(Sheet1!A48)=TRUE,"",IF(EXACT(Sheet1!W47,Sheet1!W48)=TRUE,"",$Z$1&amp;CHAR(13)&amp;$AA$1&amp;Sheet1!W48&amp;CHAR(13)&amp;$Z$1&amp;CHAR(13))&amp;$W$1&amp;CHAR(13)&amp;$V$1&amp;Sheet1!E48&amp;CHAR(13)&amp;$X$1&amp;CHAR(13)&amp;$A48&amp;" = "&amp;Sheet1!A48&amp;",")</f>
        <v>/// &lt;summary&gt;_x000D_/// IN로봇 피커 P2 파기에 실패 했습니다_x000D_/// &lt;/summary&gt;_x000D_VC_TRANSFER_ROBOT_IN_P2_BLOW = 11131,</v>
      </c>
    </row>
    <row r="49" spans="1:2" x14ac:dyDescent="0.3">
      <c r="A49" t="str">
        <f>IF(ISBLANK(Sheet1!C49),"",SUBSTITUTE(SUBSTITUTE(SUBSTITUTE(SUBSTITUTE(SUBSTITUTE(Sheet1!C49, " ", "_"), "-", "_"), "&amp;", "_"), "/", "_"), "#", "_"))</f>
        <v>SE_TRANSFER_ROBOT_IN_P2_VACUUM_CHECK</v>
      </c>
      <c r="B49" t="str">
        <f>IF(ISBLANK(Sheet1!A49)=TRUE,"",IF(EXACT(Sheet1!W48,Sheet1!W49)=TRUE,"",$Z$1&amp;CHAR(13)&amp;$AA$1&amp;Sheet1!W49&amp;CHAR(13)&amp;$Z$1&amp;CHAR(13))&amp;$W$1&amp;CHAR(13)&amp;$V$1&amp;Sheet1!E49&amp;CHAR(13)&amp;$X$1&amp;CHAR(13)&amp;$A49&amp;" = "&amp;Sheet1!A49&amp;",")</f>
        <v>/// &lt;summary&gt;_x000D_/// IN로봇 P2 셀 확인에 실패 했습니다 (진공)_x000D_/// &lt;/summary&gt;_x000D_SE_TRANSFER_ROBOT_IN_P2_VACUUM_CHECK = 11132,</v>
      </c>
    </row>
    <row r="50" spans="1:2" x14ac:dyDescent="0.3">
      <c r="A50" t="str">
        <f>IF(ISBLANK(Sheet1!C50),"",SUBSTITUTE(SUBSTITUTE(SUBSTITUTE(SUBSTITUTE(SUBSTITUTE(Sheet1!C50, " ", "_"), "-", "_"), "&amp;", "_"), "/", "_"), "#", "_"))</f>
        <v>SE_TRANSFER_ROBOT_IN_P2_SENSOR_CHECK</v>
      </c>
      <c r="B50" t="str">
        <f>IF(ISBLANK(Sheet1!A50)=TRUE,"",IF(EXACT(Sheet1!W49,Sheet1!W50)=TRUE,"",$Z$1&amp;CHAR(13)&amp;$AA$1&amp;Sheet1!W50&amp;CHAR(13)&amp;$Z$1&amp;CHAR(13))&amp;$W$1&amp;CHAR(13)&amp;$V$1&amp;Sheet1!E50&amp;CHAR(13)&amp;$X$1&amp;CHAR(13)&amp;$A50&amp;" = "&amp;Sheet1!A50&amp;",")</f>
        <v>/// &lt;summary&gt;_x000D_/// IN로봇 P2 셀 확인에 실패 했습니다 (센서)_x000D_/// &lt;/summary&gt;_x000D_SE_TRANSFER_ROBOT_IN_P2_SENSOR_CHECK = 11133,</v>
      </c>
    </row>
    <row r="51" spans="1:2" x14ac:dyDescent="0.3">
      <c r="A51" t="str">
        <f>IF(ISBLANK(Sheet1!C51),"",SUBSTITUTE(SUBSTITUTE(SUBSTITUTE(SUBSTITUTE(SUBSTITUTE(Sheet1!C51, " ", "_"), "-", "_"), "&amp;", "_"), "/", "_"), "#", "_"))</f>
        <v>SE_TRANSFER_ROBOT_IN_P2_VACUUM_OVERLAP</v>
      </c>
      <c r="B51" t="str">
        <f>IF(ISBLANK(Sheet1!A51)=TRUE,"",IF(EXACT(Sheet1!W50,Sheet1!W51)=TRUE,"",$Z$1&amp;CHAR(13)&amp;$AA$1&amp;Sheet1!W51&amp;CHAR(13)&amp;$Z$1&amp;CHAR(13))&amp;$W$1&amp;CHAR(13)&amp;$V$1&amp;Sheet1!E51&amp;CHAR(13)&amp;$X$1&amp;CHAR(13)&amp;$A51&amp;" = "&amp;Sheet1!A51&amp;",")</f>
        <v>/// &lt;summary&gt;_x000D_/// IN로봇 P2 셀 겹침 확인되었습니다 (진공)_x000D_/// &lt;/summary&gt;_x000D_SE_TRANSFER_ROBOT_IN_P2_VACUUM_OVERLAP = 11134,</v>
      </c>
    </row>
    <row r="52" spans="1:2" x14ac:dyDescent="0.3">
      <c r="A52" t="str">
        <f>IF(ISBLANK(Sheet1!C52),"",SUBSTITUTE(SUBSTITUTE(SUBSTITUTE(SUBSTITUTE(SUBSTITUTE(Sheet1!C52, " ", "_"), "-", "_"), "&amp;", "_"), "/", "_"), "#", "_"))</f>
        <v>SE_TRANSFER_ROBOT_IN_P2_SENSOR_OVERLAP</v>
      </c>
      <c r="B52" t="str">
        <f>IF(ISBLANK(Sheet1!A52)=TRUE,"",IF(EXACT(Sheet1!W51,Sheet1!W52)=TRUE,"",$Z$1&amp;CHAR(13)&amp;$AA$1&amp;Sheet1!W52&amp;CHAR(13)&amp;$Z$1&amp;CHAR(13))&amp;$W$1&amp;CHAR(13)&amp;$V$1&amp;Sheet1!E52&amp;CHAR(13)&amp;$X$1&amp;CHAR(13)&amp;$A52&amp;" = "&amp;Sheet1!A52&amp;",")</f>
        <v>/// &lt;summary&gt;_x000D_/// IN로봇 P2 셀 겹침 확인되었습니다 (센서)_x000D_/// &lt;/summary&gt;_x000D_SE_TRANSFER_ROBOT_IN_P2_SENSOR_OVERLAP = 11135,</v>
      </c>
    </row>
    <row r="53" spans="1:2" x14ac:dyDescent="0.3">
      <c r="A53" t="str">
        <f>IF(ISBLANK(Sheet1!C53),"",SUBSTITUTE(SUBSTITUTE(SUBSTITUTE(SUBSTITUTE(SUBSTITUTE(Sheet1!C53, " ", "_"), "-", "_"), "&amp;", "_"), "/", "_"), "#", "_"))</f>
        <v>CO_TRANSFER_ROBOT_IN_ALIGN_DATA</v>
      </c>
      <c r="B53" t="str">
        <f>IF(ISBLANK(Sheet1!A53)=TRUE,"",IF(EXACT(Sheet1!W52,Sheet1!W53)=TRUE,"",$Z$1&amp;CHAR(13)&amp;$AA$1&amp;Sheet1!W53&amp;CHAR(13)&amp;$Z$1&amp;CHAR(13))&amp;$W$1&amp;CHAR(13)&amp;$V$1&amp;Sheet1!E53&amp;CHAR(13)&amp;$X$1&amp;CHAR(13)&amp;$A53&amp;" = "&amp;Sheet1!A53&amp;",")</f>
        <v>/// &lt;summary&gt;_x000D_/// IN로봇 얼라인 데이터 전송에 실패 했습니다_x000D_/// &lt;/summary&gt;_x000D_CO_TRANSFER_ROBOT_IN_ALIGN_DATA = 11400,</v>
      </c>
    </row>
    <row r="54" spans="1:2" x14ac:dyDescent="0.3">
      <c r="A54" t="str">
        <f>IF(ISBLANK(Sheet1!C54),"",SUBSTITUTE(SUBSTITUTE(SUBSTITUTE(SUBSTITUTE(SUBSTITUTE(Sheet1!C54, " ", "_"), "-", "_"), "&amp;", "_"), "/", "_"), "#", "_"))</f>
        <v>CO_TRANSFER_ROBOT_IN_RESET_DATA</v>
      </c>
      <c r="B54" t="str">
        <f>IF(ISBLANK(Sheet1!A54)=TRUE,"",IF(EXACT(Sheet1!W53,Sheet1!W54)=TRUE,"",$Z$1&amp;CHAR(13)&amp;$AA$1&amp;Sheet1!W54&amp;CHAR(13)&amp;$Z$1&amp;CHAR(13))&amp;$W$1&amp;CHAR(13)&amp;$V$1&amp;Sheet1!E54&amp;CHAR(13)&amp;$X$1&amp;CHAR(13)&amp;$A54&amp;" = "&amp;Sheet1!A54&amp;",")</f>
        <v>/// &lt;summary&gt;_x000D_/// IN로봇 얼라인 초기화 데이터 전송에 실패 했습니다_x000D_/// &lt;/summary&gt;_x000D_CO_TRANSFER_ROBOT_IN_RESET_DATA = 11401,</v>
      </c>
    </row>
    <row r="55" spans="1:2" x14ac:dyDescent="0.3">
      <c r="A55" t="str">
        <f>IF(ISBLANK(Sheet1!C55),"",SUBSTITUTE(SUBSTITUTE(SUBSTITUTE(SUBSTITUTE(SUBSTITUTE(Sheet1!C55, " ", "_"), "-", "_"), "&amp;", "_"), "/", "_"), "#", "_"))</f>
        <v>CO_TRANSFER_ROBOT_IN_CALIBRATION_DATA</v>
      </c>
      <c r="B55" t="str">
        <f>IF(ISBLANK(Sheet1!A55)=TRUE,"",IF(EXACT(Sheet1!W54,Sheet1!W55)=TRUE,"",$Z$1&amp;CHAR(13)&amp;$AA$1&amp;Sheet1!W55&amp;CHAR(13)&amp;$Z$1&amp;CHAR(13))&amp;$W$1&amp;CHAR(13)&amp;$V$1&amp;Sheet1!E55&amp;CHAR(13)&amp;$X$1&amp;CHAR(13)&amp;$A55&amp;" = "&amp;Sheet1!A55&amp;",")</f>
        <v>/// &lt;summary&gt;_x000D_/// IN로봇 켈리브레이션 데이터 전송에 실패 했습니다_x000D_/// &lt;/summary&gt;_x000D_CO_TRANSFER_ROBOT_IN_CALIBRATION_DATA = 11402,</v>
      </c>
    </row>
    <row r="56" spans="1:2" x14ac:dyDescent="0.3">
      <c r="A56" t="str">
        <f>IF(ISBLANK(Sheet1!C56),"",SUBSTITUTE(SUBSTITUTE(SUBSTITUTE(SUBSTITUTE(SUBSTITUTE(Sheet1!C56, " ", "_"), "-", "_"), "&amp;", "_"), "/", "_"), "#", "_"))</f>
        <v>MO_INSP_STAGE_Y_HOME_MOTION</v>
      </c>
      <c r="B56" t="str">
        <f>IF(ISBLANK(Sheet1!A56)=TRUE,"",IF(EXACT(Sheet1!W55,Sheet1!W56)=TRUE,"",$Z$1&amp;CHAR(13)&amp;$AA$1&amp;Sheet1!W56&amp;CHAR(13)&amp;$Z$1&amp;CHAR(13))&amp;$W$1&amp;CHAR(13)&amp;$V$1&amp;Sheet1!E56&amp;CHAR(13)&amp;$X$1&amp;CHAR(13)&amp;$A56&amp;" = "&amp;Sheet1!A56&amp;",")</f>
        <v>//////////////////////////////////////////////////////////////////////////_x000D_// INSPECTION_STAGE_x000D_//////////////////////////////////////////////////////////////////////////_x000D_/// &lt;summary&gt;_x000D_/// 검사스테이지 Y축이 홈 동작 진행에 실패 했습니다_x000D_/// &lt;/summary&gt;_x000D_MO_INSP_STAGE_Y_HOME_MOTION = 11500,</v>
      </c>
    </row>
    <row r="57" spans="1:2" x14ac:dyDescent="0.3">
      <c r="A57" t="str">
        <f>IF(ISBLANK(Sheet1!C57),"",SUBSTITUTE(SUBSTITUTE(SUBSTITUTE(SUBSTITUTE(SUBSTITUTE(Sheet1!C57, " ", "_"), "-", "_"), "&amp;", "_"), "/", "_"), "#", "_"))</f>
        <v>MO_INSP_STAGE_Y_LOAD_MOVE</v>
      </c>
      <c r="B57" t="str">
        <f>IF(ISBLANK(Sheet1!A57)=TRUE,"",IF(EXACT(Sheet1!W56,Sheet1!W57)=TRUE,"",$Z$1&amp;CHAR(13)&amp;$AA$1&amp;Sheet1!W57&amp;CHAR(13)&amp;$Z$1&amp;CHAR(13))&amp;$W$1&amp;CHAR(13)&amp;$V$1&amp;Sheet1!E57&amp;CHAR(13)&amp;$X$1&amp;CHAR(13)&amp;$A57&amp;" = "&amp;Sheet1!A57&amp;",")</f>
        <v>/// &lt;summary&gt;_x000D_/// 검사스테이지 Y축 로드 위치 이동에 실패 했습니다 (IN로봇 위치)_x000D_/// &lt;/summary&gt;_x000D_MO_INSP_STAGE_Y_LOAD_MOVE = 11501,</v>
      </c>
    </row>
    <row r="58" spans="1:2" x14ac:dyDescent="0.3">
      <c r="A58" t="str">
        <f>IF(ISBLANK(Sheet1!C58),"",SUBSTITUTE(SUBSTITUTE(SUBSTITUTE(SUBSTITUTE(SUBSTITUTE(Sheet1!C58, " ", "_"), "-", "_"), "&amp;", "_"), "/", "_"), "#", "_"))</f>
        <v>MO_INSP_STAGE_Y_GRAB_P1_MOVE</v>
      </c>
      <c r="B58" t="str">
        <f>IF(ISBLANK(Sheet1!A58)=TRUE,"",IF(EXACT(Sheet1!W57,Sheet1!W58)=TRUE,"",$Z$1&amp;CHAR(13)&amp;$AA$1&amp;Sheet1!W58&amp;CHAR(13)&amp;$Z$1&amp;CHAR(13))&amp;$W$1&amp;CHAR(13)&amp;$V$1&amp;Sheet1!E58&amp;CHAR(13)&amp;$X$1&amp;CHAR(13)&amp;$A58&amp;" = "&amp;Sheet1!A58&amp;",")</f>
        <v>/// &lt;summary&gt;_x000D_/// 검사스테이지 Y축 P1 촬상 위치 이동에 실패 했습니다_x000D_/// &lt;/summary&gt;_x000D_MO_INSP_STAGE_Y_GRAB_P1_MOVE = 11502,</v>
      </c>
    </row>
    <row r="59" spans="1:2" x14ac:dyDescent="0.3">
      <c r="A59" t="str">
        <f>IF(ISBLANK(Sheet1!C59),"",SUBSTITUTE(SUBSTITUTE(SUBSTITUTE(SUBSTITUTE(SUBSTITUTE(Sheet1!C59, " ", "_"), "-", "_"), "&amp;", "_"), "/", "_"), "#", "_"))</f>
        <v>MO_INSP_STAGE_Y_GRAB_P2_MOVE</v>
      </c>
      <c r="B59" t="str">
        <f>IF(ISBLANK(Sheet1!A59)=TRUE,"",IF(EXACT(Sheet1!W58,Sheet1!W59)=TRUE,"",$Z$1&amp;CHAR(13)&amp;$AA$1&amp;Sheet1!W59&amp;CHAR(13)&amp;$Z$1&amp;CHAR(13))&amp;$W$1&amp;CHAR(13)&amp;$V$1&amp;Sheet1!E59&amp;CHAR(13)&amp;$X$1&amp;CHAR(13)&amp;$A59&amp;" = "&amp;Sheet1!A59&amp;",")</f>
        <v>/// &lt;summary&gt;_x000D_/// 검사스테이지 Y축 P2 촬상 위치 이동에 실패 했습니다_x000D_/// &lt;/summary&gt;_x000D_MO_INSP_STAGE_Y_GRAB_P2_MOVE = 11503,</v>
      </c>
    </row>
    <row r="60" spans="1:2" x14ac:dyDescent="0.3">
      <c r="A60" t="str">
        <f>IF(ISBLANK(Sheet1!C60),"",SUBSTITUTE(SUBSTITUTE(SUBSTITUTE(SUBSTITUTE(SUBSTITUTE(Sheet1!C60, " ", "_"), "-", "_"), "&amp;", "_"), "/", "_"), "#", "_"))</f>
        <v>MO_INSP_STAGE_Y_UNLOAD_MOVE</v>
      </c>
      <c r="B60" t="str">
        <f>IF(ISBLANK(Sheet1!A60)=TRUE,"",IF(EXACT(Sheet1!W59,Sheet1!W60)=TRUE,"",$Z$1&amp;CHAR(13)&amp;$AA$1&amp;Sheet1!W60&amp;CHAR(13)&amp;$Z$1&amp;CHAR(13))&amp;$W$1&amp;CHAR(13)&amp;$V$1&amp;Sheet1!E60&amp;CHAR(13)&amp;$X$1&amp;CHAR(13)&amp;$A60&amp;" = "&amp;Sheet1!A60&amp;",")</f>
        <v>/// &lt;summary&gt;_x000D_/// 검사스테이지 Y축 언로드 위치 이동에 실패 했습니다 (OUT로봇 위치)_x000D_/// &lt;/summary&gt;_x000D_MO_INSP_STAGE_Y_UNLOAD_MOVE = 11504,</v>
      </c>
    </row>
    <row r="61" spans="1:2" x14ac:dyDescent="0.3">
      <c r="A61" t="str">
        <f>IF(ISBLANK(Sheet1!C61),"",SUBSTITUTE(SUBSTITUTE(SUBSTITUTE(SUBSTITUTE(SUBSTITUTE(Sheet1!C61, " ", "_"), "-", "_"), "&amp;", "_"), "/", "_"), "#", "_"))</f>
        <v>VC_INSP_STAGE_P1_VACUUM</v>
      </c>
      <c r="B61" t="str">
        <f>IF(ISBLANK(Sheet1!A61)=TRUE,"",IF(EXACT(Sheet1!W60,Sheet1!W61)=TRUE,"",$Z$1&amp;CHAR(13)&amp;$AA$1&amp;Sheet1!W61&amp;CHAR(13)&amp;$Z$1&amp;CHAR(13))&amp;$W$1&amp;CHAR(13)&amp;$V$1&amp;Sheet1!E61&amp;CHAR(13)&amp;$X$1&amp;CHAR(13)&amp;$A61&amp;" = "&amp;Sheet1!A61&amp;",")</f>
        <v>/// &lt;summary&gt;_x000D_/// 검사스테이지 P1 진공 흡착에 실패 했습니다_x000D_/// &lt;/summary&gt;_x000D_VC_INSP_STAGE_P1_VACUUM = 11600,</v>
      </c>
    </row>
    <row r="62" spans="1:2" x14ac:dyDescent="0.3">
      <c r="A62" t="str">
        <f>IF(ISBLANK(Sheet1!C62),"",SUBSTITUTE(SUBSTITUTE(SUBSTITUTE(SUBSTITUTE(SUBSTITUTE(Sheet1!C62, " ", "_"), "-", "_"), "&amp;", "_"), "/", "_"), "#", "_"))</f>
        <v>VC_INSP_STAGE_P1_BLOW</v>
      </c>
      <c r="B62" t="str">
        <f>IF(ISBLANK(Sheet1!A62)=TRUE,"",IF(EXACT(Sheet1!W61,Sheet1!W62)=TRUE,"",$Z$1&amp;CHAR(13)&amp;$AA$1&amp;Sheet1!W62&amp;CHAR(13)&amp;$Z$1&amp;CHAR(13))&amp;$W$1&amp;CHAR(13)&amp;$V$1&amp;Sheet1!E62&amp;CHAR(13)&amp;$X$1&amp;CHAR(13)&amp;$A62&amp;" = "&amp;Sheet1!A62&amp;",")</f>
        <v>/// &lt;summary&gt;_x000D_/// 검사스테이지 P1 진공 파기에 실패 했습니다_x000D_/// &lt;/summary&gt;_x000D_VC_INSP_STAGE_P1_BLOW = 11601,</v>
      </c>
    </row>
    <row r="63" spans="1:2" x14ac:dyDescent="0.3">
      <c r="A63" t="str">
        <f>IF(ISBLANK(Sheet1!C63),"",SUBSTITUTE(SUBSTITUTE(SUBSTITUTE(SUBSTITUTE(SUBSTITUTE(Sheet1!C63, " ", "_"), "-", "_"), "&amp;", "_"), "/", "_"), "#", "_"))</f>
        <v>SE_INSP_STAGE_P1_VACUUM_CHECK</v>
      </c>
      <c r="B63" t="str">
        <f>IF(ISBLANK(Sheet1!A63)=TRUE,"",IF(EXACT(Sheet1!W62,Sheet1!W63)=TRUE,"",$Z$1&amp;CHAR(13)&amp;$AA$1&amp;Sheet1!W63&amp;CHAR(13)&amp;$Z$1&amp;CHAR(13))&amp;$W$1&amp;CHAR(13)&amp;$V$1&amp;Sheet1!E63&amp;CHAR(13)&amp;$X$1&amp;CHAR(13)&amp;$A63&amp;" = "&amp;Sheet1!A63&amp;",")</f>
        <v>/// &lt;summary&gt;_x000D_/// 검사스테이지 P1 셀 확인에 실패 했습니다 (진공)_x000D_/// &lt;/summary&gt;_x000D_SE_INSP_STAGE_P1_VACUUM_CHECK = 11602,</v>
      </c>
    </row>
    <row r="64" spans="1:2" x14ac:dyDescent="0.3">
      <c r="A64" t="str">
        <f>IF(ISBLANK(Sheet1!C64),"",SUBSTITUTE(SUBSTITUTE(SUBSTITUTE(SUBSTITUTE(SUBSTITUTE(Sheet1!C64, " ", "_"), "-", "_"), "&amp;", "_"), "/", "_"), "#", "_"))</f>
        <v>SE_INSP_STAGE_P1_SENSOR_CHECK</v>
      </c>
      <c r="B64" t="str">
        <f>IF(ISBLANK(Sheet1!A64)=TRUE,"",IF(EXACT(Sheet1!W63,Sheet1!W64)=TRUE,"",$Z$1&amp;CHAR(13)&amp;$AA$1&amp;Sheet1!W64&amp;CHAR(13)&amp;$Z$1&amp;CHAR(13))&amp;$W$1&amp;CHAR(13)&amp;$V$1&amp;Sheet1!E64&amp;CHAR(13)&amp;$X$1&amp;CHAR(13)&amp;$A64&amp;" = "&amp;Sheet1!A64&amp;",")</f>
        <v>/// &lt;summary&gt;_x000D_/// 검사스테이지 P1 셀 확인에 실패 했습니다 (센서)_x000D_/// &lt;/summary&gt;_x000D_SE_INSP_STAGE_P1_SENSOR_CHECK = 11603,</v>
      </c>
    </row>
    <row r="65" spans="1:2" x14ac:dyDescent="0.3">
      <c r="A65" t="str">
        <f>IF(ISBLANK(Sheet1!C65),"",SUBSTITUTE(SUBSTITUTE(SUBSTITUTE(SUBSTITUTE(SUBSTITUTE(Sheet1!C65, " ", "_"), "-", "_"), "&amp;", "_"), "/", "_"), "#", "_"))</f>
        <v>SE_INSP_STAGE_P1_VACUUM_OVERLAP</v>
      </c>
      <c r="B65" t="str">
        <f>IF(ISBLANK(Sheet1!A65)=TRUE,"",IF(EXACT(Sheet1!W64,Sheet1!W65)=TRUE,"",$Z$1&amp;CHAR(13)&amp;$AA$1&amp;Sheet1!W65&amp;CHAR(13)&amp;$Z$1&amp;CHAR(13))&amp;$W$1&amp;CHAR(13)&amp;$V$1&amp;Sheet1!E65&amp;CHAR(13)&amp;$X$1&amp;CHAR(13)&amp;$A65&amp;" = "&amp;Sheet1!A65&amp;",")</f>
        <v>/// &lt;summary&gt;_x000D_/// 검사스테이지 P1 셀 겹침 확인되었습니다 (진공)_x000D_/// &lt;/summary&gt;_x000D_SE_INSP_STAGE_P1_VACUUM_OVERLAP = 11604,</v>
      </c>
    </row>
    <row r="66" spans="1:2" x14ac:dyDescent="0.3">
      <c r="A66" t="str">
        <f>IF(ISBLANK(Sheet1!C66),"",SUBSTITUTE(SUBSTITUTE(SUBSTITUTE(SUBSTITUTE(SUBSTITUTE(Sheet1!C66, " ", "_"), "-", "_"), "&amp;", "_"), "/", "_"), "#", "_"))</f>
        <v>SE_INSP_STAGE_P1_SENSOR_OVERLAP</v>
      </c>
      <c r="B66" t="str">
        <f>IF(ISBLANK(Sheet1!A66)=TRUE,"",IF(EXACT(Sheet1!W65,Sheet1!W66)=TRUE,"",$Z$1&amp;CHAR(13)&amp;$AA$1&amp;Sheet1!W66&amp;CHAR(13)&amp;$Z$1&amp;CHAR(13))&amp;$W$1&amp;CHAR(13)&amp;$V$1&amp;Sheet1!E66&amp;CHAR(13)&amp;$X$1&amp;CHAR(13)&amp;$A66&amp;" = "&amp;Sheet1!A66&amp;",")</f>
        <v>/// &lt;summary&gt;_x000D_/// 검사스테이지 P1 셀 겹침 확인되었습니다 (센서)_x000D_/// &lt;/summary&gt;_x000D_SE_INSP_STAGE_P1_SENSOR_OVERLAP = 11605,</v>
      </c>
    </row>
    <row r="67" spans="1:2" x14ac:dyDescent="0.3">
      <c r="A67" t="str">
        <f>IF(ISBLANK(Sheet1!C67),"",SUBSTITUTE(SUBSTITUTE(SUBSTITUTE(SUBSTITUTE(SUBSTITUTE(Sheet1!C67, " ", "_"), "-", "_"), "&amp;", "_"), "/", "_"), "#", "_"))</f>
        <v>VC_INSP_STAGE_P2_VACUUM</v>
      </c>
      <c r="B67" t="str">
        <f>IF(ISBLANK(Sheet1!A67)=TRUE,"",IF(EXACT(Sheet1!W66,Sheet1!W67)=TRUE,"",$Z$1&amp;CHAR(13)&amp;$AA$1&amp;Sheet1!W67&amp;CHAR(13)&amp;$Z$1&amp;CHAR(13))&amp;$W$1&amp;CHAR(13)&amp;$V$1&amp;Sheet1!E67&amp;CHAR(13)&amp;$X$1&amp;CHAR(13)&amp;$A67&amp;" = "&amp;Sheet1!A67&amp;",")</f>
        <v>/// &lt;summary&gt;_x000D_/// 검사스테이지 P2 진공 흡착에 실패 했습니다_x000D_/// &lt;/summary&gt;_x000D_VC_INSP_STAGE_P2_VACUUM = 11610,</v>
      </c>
    </row>
    <row r="68" spans="1:2" x14ac:dyDescent="0.3">
      <c r="A68" t="str">
        <f>IF(ISBLANK(Sheet1!C68),"",SUBSTITUTE(SUBSTITUTE(SUBSTITUTE(SUBSTITUTE(SUBSTITUTE(Sheet1!C68, " ", "_"), "-", "_"), "&amp;", "_"), "/", "_"), "#", "_"))</f>
        <v>VC_INSP_STAGE_P2_BLOW</v>
      </c>
      <c r="B68" t="str">
        <f>IF(ISBLANK(Sheet1!A68)=TRUE,"",IF(EXACT(Sheet1!W67,Sheet1!W68)=TRUE,"",$Z$1&amp;CHAR(13)&amp;$AA$1&amp;Sheet1!W68&amp;CHAR(13)&amp;$Z$1&amp;CHAR(13))&amp;$W$1&amp;CHAR(13)&amp;$V$1&amp;Sheet1!E68&amp;CHAR(13)&amp;$X$1&amp;CHAR(13)&amp;$A68&amp;" = "&amp;Sheet1!A68&amp;",")</f>
        <v>/// &lt;summary&gt;_x000D_/// 검사스테이지 P2 진공 파기에 실패 했습니다_x000D_/// &lt;/summary&gt;_x000D_VC_INSP_STAGE_P2_BLOW = 11611,</v>
      </c>
    </row>
    <row r="69" spans="1:2" x14ac:dyDescent="0.3">
      <c r="A69" t="str">
        <f>IF(ISBLANK(Sheet1!C69),"",SUBSTITUTE(SUBSTITUTE(SUBSTITUTE(SUBSTITUTE(SUBSTITUTE(Sheet1!C69, " ", "_"), "-", "_"), "&amp;", "_"), "/", "_"), "#", "_"))</f>
        <v>SE_INSP_STAGE_P2_VACUUM_CHECK</v>
      </c>
      <c r="B69" t="str">
        <f>IF(ISBLANK(Sheet1!A69)=TRUE,"",IF(EXACT(Sheet1!W68,Sheet1!W69)=TRUE,"",$Z$1&amp;CHAR(13)&amp;$AA$1&amp;Sheet1!W69&amp;CHAR(13)&amp;$Z$1&amp;CHAR(13))&amp;$W$1&amp;CHAR(13)&amp;$V$1&amp;Sheet1!E69&amp;CHAR(13)&amp;$X$1&amp;CHAR(13)&amp;$A69&amp;" = "&amp;Sheet1!A69&amp;",")</f>
        <v>/// &lt;summary&gt;_x000D_/// 검사스테이지 P2 셀 확인에 실패 했습니다 (진공)_x000D_/// &lt;/summary&gt;_x000D_SE_INSP_STAGE_P2_VACUUM_CHECK = 11612,</v>
      </c>
    </row>
    <row r="70" spans="1:2" x14ac:dyDescent="0.3">
      <c r="A70" t="str">
        <f>IF(ISBLANK(Sheet1!C70),"",SUBSTITUTE(SUBSTITUTE(SUBSTITUTE(SUBSTITUTE(SUBSTITUTE(Sheet1!C70, " ", "_"), "-", "_"), "&amp;", "_"), "/", "_"), "#", "_"))</f>
        <v>SE_INSP_STAGE_P2_SENSOR_CHECK</v>
      </c>
      <c r="B70" t="str">
        <f>IF(ISBLANK(Sheet1!A70)=TRUE,"",IF(EXACT(Sheet1!W69,Sheet1!W70)=TRUE,"",$Z$1&amp;CHAR(13)&amp;$AA$1&amp;Sheet1!W70&amp;CHAR(13)&amp;$Z$1&amp;CHAR(13))&amp;$W$1&amp;CHAR(13)&amp;$V$1&amp;Sheet1!E70&amp;CHAR(13)&amp;$X$1&amp;CHAR(13)&amp;$A70&amp;" = "&amp;Sheet1!A70&amp;",")</f>
        <v>/// &lt;summary&gt;_x000D_/// 검사스테이지 P2 셀 확인에 실패 했습니다 (센서)_x000D_/// &lt;/summary&gt;_x000D_SE_INSP_STAGE_P2_SENSOR_CHECK = 11613,</v>
      </c>
    </row>
    <row r="71" spans="1:2" x14ac:dyDescent="0.3">
      <c r="A71" t="str">
        <f>IF(ISBLANK(Sheet1!C71),"",SUBSTITUTE(SUBSTITUTE(SUBSTITUTE(SUBSTITUTE(SUBSTITUTE(Sheet1!C71, " ", "_"), "-", "_"), "&amp;", "_"), "/", "_"), "#", "_"))</f>
        <v>SE_INSP_STAGE_P2_VACUUM_OVERLAP</v>
      </c>
      <c r="B71" t="str">
        <f>IF(ISBLANK(Sheet1!A71)=TRUE,"",IF(EXACT(Sheet1!W70,Sheet1!W71)=TRUE,"",$Z$1&amp;CHAR(13)&amp;$AA$1&amp;Sheet1!W71&amp;CHAR(13)&amp;$Z$1&amp;CHAR(13))&amp;$W$1&amp;CHAR(13)&amp;$V$1&amp;Sheet1!E71&amp;CHAR(13)&amp;$X$1&amp;CHAR(13)&amp;$A71&amp;" = "&amp;Sheet1!A71&amp;",")</f>
        <v>/// &lt;summary&gt;_x000D_/// 검사스테이지 P2 셀 겹침 확인되었습니다 (진공)_x000D_/// &lt;/summary&gt;_x000D_SE_INSP_STAGE_P2_VACUUM_OVERLAP = 11614,</v>
      </c>
    </row>
    <row r="72" spans="1:2" x14ac:dyDescent="0.3">
      <c r="A72" t="str">
        <f>IF(ISBLANK(Sheet1!C72),"",SUBSTITUTE(SUBSTITUTE(SUBSTITUTE(SUBSTITUTE(SUBSTITUTE(Sheet1!C72, " ", "_"), "-", "_"), "&amp;", "_"), "/", "_"), "#", "_"))</f>
        <v>SE_INSP_STAGE_P2_SENSOR_OVERLAP</v>
      </c>
      <c r="B72" t="str">
        <f>IF(ISBLANK(Sheet1!A72)=TRUE,"",IF(EXACT(Sheet1!W71,Sheet1!W72)=TRUE,"",$Z$1&amp;CHAR(13)&amp;$AA$1&amp;Sheet1!W72&amp;CHAR(13)&amp;$Z$1&amp;CHAR(13))&amp;$W$1&amp;CHAR(13)&amp;$V$1&amp;Sheet1!E72&amp;CHAR(13)&amp;$X$1&amp;CHAR(13)&amp;$A72&amp;" = "&amp;Sheet1!A72&amp;",")</f>
        <v>/// &lt;summary&gt;_x000D_/// 검사스테이지 P2 셀 겹침 확인되었습니다 (센서)_x000D_/// &lt;/summary&gt;_x000D_SE_INSP_STAGE_P2_SENSOR_OVERLAP = 11615,</v>
      </c>
    </row>
    <row r="73" spans="1:2" x14ac:dyDescent="0.3">
      <c r="A73" t="str">
        <f>IF(ISBLANK(Sheet1!C73),"",SUBSTITUTE(SUBSTITUTE(SUBSTITUTE(SUBSTITUTE(SUBSTITUTE(Sheet1!C73, " ", "_"), "-", "_"), "&amp;", "_"), "/", "_"), "#", "_"))</f>
        <v>MO_TRANSFER_ROBOT_OUT_N_INITIALIZE</v>
      </c>
      <c r="B73" t="str">
        <f>IF(ISBLANK(Sheet1!A73)=TRUE,"",IF(EXACT(Sheet1!W72,Sheet1!W73)=TRUE,"",$Z$1&amp;CHAR(13)&amp;$AA$1&amp;Sheet1!W73&amp;CHAR(13)&amp;$Z$1&amp;CHAR(13))&amp;$W$1&amp;CHAR(13)&amp;$V$1&amp;Sheet1!E73&amp;CHAR(13)&amp;$X$1&amp;CHAR(13)&amp;$A73&amp;" = "&amp;Sheet1!A73&amp;",")</f>
        <v>//////////////////////////////////////////////////////////////////////////_x000D_// OUT_ROBOT_x000D_//////////////////////////////////////////////////////////////////////////_x000D_/// &lt;summary&gt;_x000D_/// OUT로봇 초기화 동작에 실패 했습니다_x000D_/// &lt;/summary&gt;_x000D_MO_TRANSFER_ROBOT_OUT_N_INITIALIZE = 12000,</v>
      </c>
    </row>
    <row r="74" spans="1:2" x14ac:dyDescent="0.3">
      <c r="A74" t="str">
        <f>IF(ISBLANK(Sheet1!C74),"",SUBSTITUTE(SUBSTITUTE(SUBSTITUTE(SUBSTITUTE(SUBSTITUTE(Sheet1!C74, " ", "_"), "-", "_"), "&amp;", "_"), "/", "_"), "#", "_"))</f>
        <v>MO_TRANSFER_ROBOT_OUT_PROCESS_SKIP</v>
      </c>
      <c r="B74" t="str">
        <f>IF(ISBLANK(Sheet1!A74)=TRUE,"",IF(EXACT(Sheet1!W73,Sheet1!W74)=TRUE,"",$Z$1&amp;CHAR(13)&amp;$AA$1&amp;Sheet1!W74&amp;CHAR(13)&amp;$Z$1&amp;CHAR(13))&amp;$W$1&amp;CHAR(13)&amp;$V$1&amp;Sheet1!E74&amp;CHAR(13)&amp;$X$1&amp;CHAR(13)&amp;$A74&amp;" = "&amp;Sheet1!A74&amp;",")</f>
        <v>/// &lt;summary&gt;_x000D_/// OUT로봇 동작중인 프로세스 스킵에 실패 했습니다_x000D_/// &lt;/summary&gt;_x000D_MO_TRANSFER_ROBOT_OUT_PROCESS_SKIP = 12001,</v>
      </c>
    </row>
    <row r="75" spans="1:2" x14ac:dyDescent="0.3">
      <c r="A75" t="str">
        <f>IF(ISBLANK(Sheet1!C75),"",SUBSTITUTE(SUBSTITUTE(SUBSTITUTE(SUBSTITUTE(SUBSTITUTE(Sheet1!C75, " ", "_"), "-", "_"), "&amp;", "_"), "/", "_"), "#", "_"))</f>
        <v>MO_TRANSFER_ROBOT_OUT_ENTER_JCM_MODE</v>
      </c>
      <c r="B75" t="str">
        <f>IF(ISBLANK(Sheet1!A75)=TRUE,"",IF(EXACT(Sheet1!W74,Sheet1!W75)=TRUE,"",$Z$1&amp;CHAR(13)&amp;$AA$1&amp;Sheet1!W75&amp;CHAR(13)&amp;$Z$1&amp;CHAR(13))&amp;$W$1&amp;CHAR(13)&amp;$V$1&amp;Sheet1!E75&amp;CHAR(13)&amp;$X$1&amp;CHAR(13)&amp;$A75&amp;" = "&amp;Sheet1!A75&amp;",")</f>
        <v>/// &lt;summary&gt;_x000D_/// OUT로봇 JCM 모드 진입(ENTER)에 실패 했습니다. _x000D_/// &lt;/summary&gt;_x000D_MO_TRANSFER_ROBOT_OUT_ENTER_JCM_MODE = 12002,</v>
      </c>
    </row>
    <row r="76" spans="1:2" x14ac:dyDescent="0.3">
      <c r="A76" t="str">
        <f>IF(ISBLANK(Sheet1!C76),"",SUBSTITUTE(SUBSTITUTE(SUBSTITUTE(SUBSTITUTE(SUBSTITUTE(Sheet1!C76, " ", "_"), "-", "_"), "&amp;", "_"), "/", "_"), "#", "_"))</f>
        <v>MO_TRANSFER_ROBOT_OUT_JCM_MODE_MOVE</v>
      </c>
      <c r="B76" t="str">
        <f>IF(ISBLANK(Sheet1!A76)=TRUE,"",IF(EXACT(Sheet1!W75,Sheet1!W76)=TRUE,"",$Z$1&amp;CHAR(13)&amp;$AA$1&amp;Sheet1!W76&amp;CHAR(13)&amp;$Z$1&amp;CHAR(13))&amp;$W$1&amp;CHAR(13)&amp;$V$1&amp;Sheet1!E76&amp;CHAR(13)&amp;$X$1&amp;CHAR(13)&amp;$A76&amp;" = "&amp;Sheet1!A76&amp;",")</f>
        <v>/// &lt;summary&gt;_x000D_/// OUT로봇 JCM 모드 이동(MOVE)에 실패 했습니다._x000D_/// &lt;/summary&gt;_x000D_MO_TRANSFER_ROBOT_OUT_JCM_MODE_MOVE = 12003,</v>
      </c>
    </row>
    <row r="77" spans="1:2" x14ac:dyDescent="0.3">
      <c r="A77" t="str">
        <f>IF(ISBLANK(Sheet1!C77),"",SUBSTITUTE(SUBSTITUTE(SUBSTITUTE(SUBSTITUTE(SUBSTITUTE(Sheet1!C77, " ", "_"), "-", "_"), "&amp;", "_"), "/", "_"), "#", "_"))</f>
        <v>MO_TRANSFER_ROBOT_OUT_EXIT_JCM_MODE</v>
      </c>
      <c r="B77" t="str">
        <f>IF(ISBLANK(Sheet1!A77)=TRUE,"",IF(EXACT(Sheet1!W76,Sheet1!W77)=TRUE,"",$Z$1&amp;CHAR(13)&amp;$AA$1&amp;Sheet1!W77&amp;CHAR(13)&amp;$Z$1&amp;CHAR(13))&amp;$W$1&amp;CHAR(13)&amp;$V$1&amp;Sheet1!E77&amp;CHAR(13)&amp;$X$1&amp;CHAR(13)&amp;$A77&amp;" = "&amp;Sheet1!A77&amp;",")</f>
        <v>/// &lt;summary&gt;_x000D_/// OUT로봇 JCM 모드 출입(EXIT)에 실패 했습니다. _x000D_/// &lt;/summary&gt;_x000D_MO_TRANSFER_ROBOT_OUT_EXIT_JCM_MODE = 12004,</v>
      </c>
    </row>
    <row r="78" spans="1:2" x14ac:dyDescent="0.3">
      <c r="A78" t="str">
        <f>IF(ISBLANK(Sheet1!C78),"",SUBSTITUTE(SUBSTITUTE(SUBSTITUTE(SUBSTITUTE(SUBSTITUTE(Sheet1!C78, " ", "_"), "-", "_"), "&amp;", "_"), "/", "_"), "#", "_"))</f>
        <v>MO_TRANSFER_ROBOT_OUT_LOAD_BEGIN</v>
      </c>
      <c r="B78" t="str">
        <f>IF(ISBLANK(Sheet1!A78)=TRUE,"",IF(EXACT(Sheet1!W77,Sheet1!W78)=TRUE,"",$Z$1&amp;CHAR(13)&amp;$AA$1&amp;Sheet1!W78&amp;CHAR(13)&amp;$Z$1&amp;CHAR(13))&amp;$W$1&amp;CHAR(13)&amp;$V$1&amp;Sheet1!E78&amp;CHAR(13)&amp;$X$1&amp;CHAR(13)&amp;$A78&amp;" = "&amp;Sheet1!A78&amp;",")</f>
        <v>/// &lt;summary&gt;_x000D_/// OUT로봇 로드 프로세스 진입에 실패 했습니다 (검사스테이지 위치)_x000D_/// &lt;/summary&gt;_x000D_MO_TRANSFER_ROBOT_OUT_LOAD_BEGIN = 12005,</v>
      </c>
    </row>
    <row r="79" spans="1:2" x14ac:dyDescent="0.3">
      <c r="A79" t="str">
        <f>IF(ISBLANK(Sheet1!C79),"",SUBSTITUTE(SUBSTITUTE(SUBSTITUTE(SUBSTITUTE(SUBSTITUTE(Sheet1!C79, " ", "_"), "-", "_"), "&amp;", "_"), "/", "_"), "#", "_"))</f>
        <v>MO_TRANSFER_ROBOT_OUT_LOAD_PERMIT</v>
      </c>
      <c r="B79" t="str">
        <f>IF(ISBLANK(Sheet1!A79)=TRUE,"",IF(EXACT(Sheet1!W78,Sheet1!W79)=TRUE,"",$Z$1&amp;CHAR(13)&amp;$AA$1&amp;Sheet1!W79&amp;CHAR(13)&amp;$Z$1&amp;CHAR(13))&amp;$W$1&amp;CHAR(13)&amp;$V$1&amp;Sheet1!E79&amp;CHAR(13)&amp;$X$1&amp;CHAR(13)&amp;$A79&amp;" = "&amp;Sheet1!A79&amp;",")</f>
        <v>/// &lt;summary&gt;_x000D_/// OUT로봇 로드 프로세스 퍼밋 동작에 실패 했습니다 (검사스테이지 위치)_x000D_/// &lt;/summary&gt;_x000D_MO_TRANSFER_ROBOT_OUT_LOAD_PERMIT = 12006,</v>
      </c>
    </row>
    <row r="80" spans="1:2" x14ac:dyDescent="0.3">
      <c r="A80" t="str">
        <f>IF(ISBLANK(Sheet1!C80),"",SUBSTITUTE(SUBSTITUTE(SUBSTITUTE(SUBSTITUTE(SUBSTITUTE(Sheet1!C80, " ", "_"), "-", "_"), "&amp;", "_"), "/", "_"), "#", "_"))</f>
        <v>MO_TRANSFER_ROBOT_OUT_LOAD_EXIT</v>
      </c>
      <c r="B80" t="str">
        <f>IF(ISBLANK(Sheet1!A80)=TRUE,"",IF(EXACT(Sheet1!W79,Sheet1!W80)=TRUE,"",$Z$1&amp;CHAR(13)&amp;$AA$1&amp;Sheet1!W80&amp;CHAR(13)&amp;$Z$1&amp;CHAR(13))&amp;$W$1&amp;CHAR(13)&amp;$V$1&amp;Sheet1!E80&amp;CHAR(13)&amp;$X$1&amp;CHAR(13)&amp;$A80&amp;" = "&amp;Sheet1!A80&amp;",")</f>
        <v>/// &lt;summary&gt;_x000D_/// OUT로봇 로드 프로세스 종료에 실패 했습니다 (검사스테이지 위치)_x000D_/// &lt;/summary&gt;_x000D_MO_TRANSFER_ROBOT_OUT_LOAD_EXIT = 12007,</v>
      </c>
    </row>
    <row r="81" spans="1:2" x14ac:dyDescent="0.3">
      <c r="A81" t="str">
        <f>IF(ISBLANK(Sheet1!C81),"",SUBSTITUTE(SUBSTITUTE(SUBSTITUTE(SUBSTITUTE(SUBSTITUTE(Sheet1!C81, " ", "_"), "-", "_"), "&amp;", "_"), "/", "_"), "#", "_"))</f>
        <v>MO_TRANSFER_ROBOT_OUT_UNLOAD_BEGIN</v>
      </c>
      <c r="B81" t="str">
        <f>IF(ISBLANK(Sheet1!A81)=TRUE,"",IF(EXACT(Sheet1!W80,Sheet1!W81)=TRUE,"",$Z$1&amp;CHAR(13)&amp;$AA$1&amp;Sheet1!W81&amp;CHAR(13)&amp;$Z$1&amp;CHAR(13))&amp;$W$1&amp;CHAR(13)&amp;$V$1&amp;Sheet1!E81&amp;CHAR(13)&amp;$X$1&amp;CHAR(13)&amp;$A81&amp;" = "&amp;Sheet1!A81&amp;",")</f>
        <v>/// &lt;summary&gt;_x000D_/// OUT로봇 언로드 프로세스 진입에 실패 했습니다 (하류설비 위치)_x000D_/// &lt;/summary&gt;_x000D_MO_TRANSFER_ROBOT_OUT_UNLOAD_BEGIN = 12008,</v>
      </c>
    </row>
    <row r="82" spans="1:2" x14ac:dyDescent="0.3">
      <c r="A82" t="str">
        <f>IF(ISBLANK(Sheet1!C82),"",SUBSTITUTE(SUBSTITUTE(SUBSTITUTE(SUBSTITUTE(SUBSTITUTE(Sheet1!C82, " ", "_"), "-", "_"), "&amp;", "_"), "/", "_"), "#", "_"))</f>
        <v>MO_TRANSFER_ROBOT_OUT_UNLOAD_PERMIT</v>
      </c>
      <c r="B82" t="str">
        <f>IF(ISBLANK(Sheet1!A82)=TRUE,"",IF(EXACT(Sheet1!W81,Sheet1!W82)=TRUE,"",$Z$1&amp;CHAR(13)&amp;$AA$1&amp;Sheet1!W82&amp;CHAR(13)&amp;$Z$1&amp;CHAR(13))&amp;$W$1&amp;CHAR(13)&amp;$V$1&amp;Sheet1!E82&amp;CHAR(13)&amp;$X$1&amp;CHAR(13)&amp;$A82&amp;" = "&amp;Sheet1!A82&amp;",")</f>
        <v>/// &lt;summary&gt;_x000D_/// OUT로봇 언로드 프로세스 퍼밋 동작에 실패 했습니다 (하류설비 위치)_x000D_/// &lt;/summary&gt;_x000D_MO_TRANSFER_ROBOT_OUT_UNLOAD_PERMIT = 12009,</v>
      </c>
    </row>
    <row r="83" spans="1:2" x14ac:dyDescent="0.3">
      <c r="A83" t="str">
        <f>IF(ISBLANK(Sheet1!C83),"",SUBSTITUTE(SUBSTITUTE(SUBSTITUTE(SUBSTITUTE(SUBSTITUTE(Sheet1!C83, " ", "_"), "-", "_"), "&amp;", "_"), "/", "_"), "#", "_"))</f>
        <v>MO_TRANSFER_ROBOT_OUT_UNLOAD_EXIT</v>
      </c>
      <c r="B83" t="str">
        <f>IF(ISBLANK(Sheet1!A83)=TRUE,"",IF(EXACT(Sheet1!W82,Sheet1!W83)=TRUE,"",$Z$1&amp;CHAR(13)&amp;$AA$1&amp;Sheet1!W83&amp;CHAR(13)&amp;$Z$1&amp;CHAR(13))&amp;$W$1&amp;CHAR(13)&amp;$V$1&amp;Sheet1!E83&amp;CHAR(13)&amp;$X$1&amp;CHAR(13)&amp;$A83&amp;" = "&amp;Sheet1!A83&amp;",")</f>
        <v>/// &lt;summary&gt;_x000D_/// OUT로봇 언로드 프로세스 종료에 실패 했습니다 (하류설비 위치)_x000D_/// &lt;/summary&gt;_x000D_MO_TRANSFER_ROBOT_OUT_UNLOAD_EXIT = 12010,</v>
      </c>
    </row>
    <row r="84" spans="1:2" x14ac:dyDescent="0.3">
      <c r="A84" t="str">
        <f>IF(ISBLANK(Sheet1!C84),"",SUBSTITUTE(SUBSTITUTE(SUBSTITUTE(SUBSTITUTE(SUBSTITUTE(Sheet1!C84, " ", "_"), "-", "_"), "&amp;", "_"), "/", "_"), "#", "_"))</f>
        <v>CY_TRANSFER_ROBOT_OUT_P1_T_TURN</v>
      </c>
      <c r="B84" t="str">
        <f>IF(ISBLANK(Sheet1!A84)=TRUE,"",IF(EXACT(Sheet1!W83,Sheet1!W84)=TRUE,"",$Z$1&amp;CHAR(13)&amp;$AA$1&amp;Sheet1!W84&amp;CHAR(13)&amp;$Z$1&amp;CHAR(13))&amp;$W$1&amp;CHAR(13)&amp;$V$1&amp;Sheet1!E84&amp;CHAR(13)&amp;$X$1&amp;CHAR(13)&amp;$A84&amp;" = "&amp;Sheet1!A84&amp;",")</f>
        <v>/// &lt;summary&gt;_x000D_/// OUT로봇 실린더 P1 회전 동작에 실패 했습니다_x000D_/// &lt;/summary&gt;_x000D_CY_TRANSFER_ROBOT_OUT_P1_T_TURN = 12100,</v>
      </c>
    </row>
    <row r="85" spans="1:2" x14ac:dyDescent="0.3">
      <c r="A85" t="str">
        <f>IF(ISBLANK(Sheet1!C85),"",SUBSTITUTE(SUBSTITUTE(SUBSTITUTE(SUBSTITUTE(SUBSTITUTE(Sheet1!C85, " ", "_"), "-", "_"), "&amp;", "_"), "/", "_"), "#", "_"))</f>
        <v>CY_TRANSFER_ROBOT_OUT_P1_T_RETURN</v>
      </c>
      <c r="B85" t="str">
        <f>IF(ISBLANK(Sheet1!A85)=TRUE,"",IF(EXACT(Sheet1!W84,Sheet1!W85)=TRUE,"",$Z$1&amp;CHAR(13)&amp;$AA$1&amp;Sheet1!W85&amp;CHAR(13)&amp;$Z$1&amp;CHAR(13))&amp;$W$1&amp;CHAR(13)&amp;$V$1&amp;Sheet1!E85&amp;CHAR(13)&amp;$X$1&amp;CHAR(13)&amp;$A85&amp;" = "&amp;Sheet1!A85&amp;",")</f>
        <v>/// &lt;summary&gt;_x000D_/// OUT로봇 실린더 P1 복귀 동작에 실패 했습니다_x000D_/// &lt;/summary&gt;_x000D_CY_TRANSFER_ROBOT_OUT_P1_T_RETURN = 12101,</v>
      </c>
    </row>
    <row r="86" spans="1:2" x14ac:dyDescent="0.3">
      <c r="A86" t="str">
        <f>IF(ISBLANK(Sheet1!C86),"",SUBSTITUTE(SUBSTITUTE(SUBSTITUTE(SUBSTITUTE(SUBSTITUTE(Sheet1!C86, " ", "_"), "-", "_"), "&amp;", "_"), "/", "_"), "#", "_"))</f>
        <v>CY_TRANSFER_ROBOT_OUT_P2_T_TURN</v>
      </c>
      <c r="B86" t="str">
        <f>IF(ISBLANK(Sheet1!A86)=TRUE,"",IF(EXACT(Sheet1!W85,Sheet1!W86)=TRUE,"",$Z$1&amp;CHAR(13)&amp;$AA$1&amp;Sheet1!W86&amp;CHAR(13)&amp;$Z$1&amp;CHAR(13))&amp;$W$1&amp;CHAR(13)&amp;$V$1&amp;Sheet1!E86&amp;CHAR(13)&amp;$X$1&amp;CHAR(13)&amp;$A86&amp;" = "&amp;Sheet1!A86&amp;",")</f>
        <v>/// &lt;summary&gt;_x000D_/// OUT로봇 실린더 P2 회전 동작에 실패 했습니다_x000D_/// &lt;/summary&gt;_x000D_CY_TRANSFER_ROBOT_OUT_P2_T_TURN = 12110,</v>
      </c>
    </row>
    <row r="87" spans="1:2" x14ac:dyDescent="0.3">
      <c r="A87" t="str">
        <f>IF(ISBLANK(Sheet1!C87),"",SUBSTITUTE(SUBSTITUTE(SUBSTITUTE(SUBSTITUTE(SUBSTITUTE(Sheet1!C87, " ", "_"), "-", "_"), "&amp;", "_"), "/", "_"), "#", "_"))</f>
        <v>CY_TRANSFER_ROBOT_OUT_P2_T_RETURN</v>
      </c>
      <c r="B87" t="str">
        <f>IF(ISBLANK(Sheet1!A87)=TRUE,"",IF(EXACT(Sheet1!W86,Sheet1!W87)=TRUE,"",$Z$1&amp;CHAR(13)&amp;$AA$1&amp;Sheet1!W87&amp;CHAR(13)&amp;$Z$1&amp;CHAR(13))&amp;$W$1&amp;CHAR(13)&amp;$V$1&amp;Sheet1!E87&amp;CHAR(13)&amp;$X$1&amp;CHAR(13)&amp;$A87&amp;" = "&amp;Sheet1!A87&amp;",")</f>
        <v>/// &lt;summary&gt;_x000D_/// OUT로봇 실린더 P2 복귀 동작에 실패 했습니다_x000D_/// &lt;/summary&gt;_x000D_CY_TRANSFER_ROBOT_OUT_P2_T_RETURN = 12111,</v>
      </c>
    </row>
    <row r="88" spans="1:2" x14ac:dyDescent="0.3">
      <c r="A88" t="str">
        <f>IF(ISBLANK(Sheet1!C88),"",SUBSTITUTE(SUBSTITUTE(SUBSTITUTE(SUBSTITUTE(SUBSTITUTE(Sheet1!C88, " ", "_"), "-", "_"), "&amp;", "_"), "/", "_"), "#", "_"))</f>
        <v>VC_TRANSFER_ROBOT_OUT_P1_VACUUM</v>
      </c>
      <c r="B88" t="str">
        <f>IF(ISBLANK(Sheet1!A88)=TRUE,"",IF(EXACT(Sheet1!W87,Sheet1!W88)=TRUE,"",$Z$1&amp;CHAR(13)&amp;$AA$1&amp;Sheet1!W88&amp;CHAR(13)&amp;$Z$1&amp;CHAR(13))&amp;$W$1&amp;CHAR(13)&amp;$V$1&amp;Sheet1!E88&amp;CHAR(13)&amp;$X$1&amp;CHAR(13)&amp;$A88&amp;" = "&amp;Sheet1!A88&amp;",")</f>
        <v>/// &lt;summary&gt;_x000D_/// OUT로봇 피커 P1 흡착에 실패 했습니다_x000D_/// &lt;/summary&gt;_x000D_VC_TRANSFER_ROBOT_OUT_P1_VACUUM = 12120,</v>
      </c>
    </row>
    <row r="89" spans="1:2" x14ac:dyDescent="0.3">
      <c r="A89" t="str">
        <f>IF(ISBLANK(Sheet1!C89),"",SUBSTITUTE(SUBSTITUTE(SUBSTITUTE(SUBSTITUTE(SUBSTITUTE(Sheet1!C89, " ", "_"), "-", "_"), "&amp;", "_"), "/", "_"), "#", "_"))</f>
        <v>VC_TRANSFER_ROBOT_OUT_P1_BLOW</v>
      </c>
      <c r="B89" t="str">
        <f>IF(ISBLANK(Sheet1!A89)=TRUE,"",IF(EXACT(Sheet1!W88,Sheet1!W89)=TRUE,"",$Z$1&amp;CHAR(13)&amp;$AA$1&amp;Sheet1!W89&amp;CHAR(13)&amp;$Z$1&amp;CHAR(13))&amp;$W$1&amp;CHAR(13)&amp;$V$1&amp;Sheet1!E89&amp;CHAR(13)&amp;$X$1&amp;CHAR(13)&amp;$A89&amp;" = "&amp;Sheet1!A89&amp;",")</f>
        <v>/// &lt;summary&gt;_x000D_/// OUT로봇 피커 P1 파기에 실패 했습니다_x000D_/// &lt;/summary&gt;_x000D_VC_TRANSFER_ROBOT_OUT_P1_BLOW = 12121,</v>
      </c>
    </row>
    <row r="90" spans="1:2" x14ac:dyDescent="0.3">
      <c r="A90" t="str">
        <f>IF(ISBLANK(Sheet1!C90),"",SUBSTITUTE(SUBSTITUTE(SUBSTITUTE(SUBSTITUTE(SUBSTITUTE(Sheet1!C90, " ", "_"), "-", "_"), "&amp;", "_"), "/", "_"), "#", "_"))</f>
        <v>SE_TRANSFER_ROBOT_OUT_P1_VACUUM_CHECK</v>
      </c>
      <c r="B90" t="str">
        <f>IF(ISBLANK(Sheet1!A90)=TRUE,"",IF(EXACT(Sheet1!W89,Sheet1!W90)=TRUE,"",$Z$1&amp;CHAR(13)&amp;$AA$1&amp;Sheet1!W90&amp;CHAR(13)&amp;$Z$1&amp;CHAR(13))&amp;$W$1&amp;CHAR(13)&amp;$V$1&amp;Sheet1!E90&amp;CHAR(13)&amp;$X$1&amp;CHAR(13)&amp;$A90&amp;" = "&amp;Sheet1!A90&amp;",")</f>
        <v>/// &lt;summary&gt;_x000D_/// OUT로봇 P1 셀 확인에 실패 했습니다 (진공)_x000D_/// &lt;/summary&gt;_x000D_SE_TRANSFER_ROBOT_OUT_P1_VACUUM_CHECK = 12122,</v>
      </c>
    </row>
    <row r="91" spans="1:2" x14ac:dyDescent="0.3">
      <c r="A91" t="str">
        <f>IF(ISBLANK(Sheet1!C91),"",SUBSTITUTE(SUBSTITUTE(SUBSTITUTE(SUBSTITUTE(SUBSTITUTE(Sheet1!C91, " ", "_"), "-", "_"), "&amp;", "_"), "/", "_"), "#", "_"))</f>
        <v>SE_TRANSFER_ROBOT_OUT_P1_SENSOR_CHECK</v>
      </c>
      <c r="B91" t="str">
        <f>IF(ISBLANK(Sheet1!A91)=TRUE,"",IF(EXACT(Sheet1!W90,Sheet1!W91)=TRUE,"",$Z$1&amp;CHAR(13)&amp;$AA$1&amp;Sheet1!W91&amp;CHAR(13)&amp;$Z$1&amp;CHAR(13))&amp;$W$1&amp;CHAR(13)&amp;$V$1&amp;Sheet1!E91&amp;CHAR(13)&amp;$X$1&amp;CHAR(13)&amp;$A91&amp;" = "&amp;Sheet1!A91&amp;",")</f>
        <v>/// &lt;summary&gt;_x000D_/// OUT로봇 P1 셀 확인에 실패 했습니다 (센서)_x000D_/// &lt;/summary&gt;_x000D_SE_TRANSFER_ROBOT_OUT_P1_SENSOR_CHECK = 12123,</v>
      </c>
    </row>
    <row r="92" spans="1:2" x14ac:dyDescent="0.3">
      <c r="A92" t="str">
        <f>IF(ISBLANK(Sheet1!C92),"",SUBSTITUTE(SUBSTITUTE(SUBSTITUTE(SUBSTITUTE(SUBSTITUTE(Sheet1!C92, " ", "_"), "-", "_"), "&amp;", "_"), "/", "_"), "#", "_"))</f>
        <v>SE_TRANSFER_ROBOT_OUT_P1_VACUUM_OVERLAP</v>
      </c>
      <c r="B92" t="str">
        <f>IF(ISBLANK(Sheet1!A92)=TRUE,"",IF(EXACT(Sheet1!W91,Sheet1!W92)=TRUE,"",$Z$1&amp;CHAR(13)&amp;$AA$1&amp;Sheet1!W92&amp;CHAR(13)&amp;$Z$1&amp;CHAR(13))&amp;$W$1&amp;CHAR(13)&amp;$V$1&amp;Sheet1!E92&amp;CHAR(13)&amp;$X$1&amp;CHAR(13)&amp;$A92&amp;" = "&amp;Sheet1!A92&amp;",")</f>
        <v>/// &lt;summary&gt;_x000D_/// OUT로봇 P1 셀 겹침 확인되었습니다 (진공)_x000D_/// &lt;/summary&gt;_x000D_SE_TRANSFER_ROBOT_OUT_P1_VACUUM_OVERLAP = 12124,</v>
      </c>
    </row>
    <row r="93" spans="1:2" x14ac:dyDescent="0.3">
      <c r="A93" t="str">
        <f>IF(ISBLANK(Sheet1!C93),"",SUBSTITUTE(SUBSTITUTE(SUBSTITUTE(SUBSTITUTE(SUBSTITUTE(Sheet1!C93, " ", "_"), "-", "_"), "&amp;", "_"), "/", "_"), "#", "_"))</f>
        <v>SE_TRANSFER_ROBOT_OUT_P1_SENSOR_OVERLAP</v>
      </c>
      <c r="B93" t="str">
        <f>IF(ISBLANK(Sheet1!A93)=TRUE,"",IF(EXACT(Sheet1!W92,Sheet1!W93)=TRUE,"",$Z$1&amp;CHAR(13)&amp;$AA$1&amp;Sheet1!W93&amp;CHAR(13)&amp;$Z$1&amp;CHAR(13))&amp;$W$1&amp;CHAR(13)&amp;$V$1&amp;Sheet1!E93&amp;CHAR(13)&amp;$X$1&amp;CHAR(13)&amp;$A93&amp;" = "&amp;Sheet1!A93&amp;",")</f>
        <v>/// &lt;summary&gt;_x000D_/// OUT로봇 P1 셀 겹침 확인되었습니다 (센서)_x000D_/// &lt;/summary&gt;_x000D_SE_TRANSFER_ROBOT_OUT_P1_SENSOR_OVERLAP = 12125,</v>
      </c>
    </row>
    <row r="94" spans="1:2" x14ac:dyDescent="0.3">
      <c r="A94" t="str">
        <f>IF(ISBLANK(Sheet1!C94),"",SUBSTITUTE(SUBSTITUTE(SUBSTITUTE(SUBSTITUTE(SUBSTITUTE(Sheet1!C94, " ", "_"), "-", "_"), "&amp;", "_"), "/", "_"), "#", "_"))</f>
        <v>VC_TRANSFER_ROBOT_OUT_P2_VACUUM</v>
      </c>
      <c r="B94" t="str">
        <f>IF(ISBLANK(Sheet1!A94)=TRUE,"",IF(EXACT(Sheet1!W93,Sheet1!W94)=TRUE,"",$Z$1&amp;CHAR(13)&amp;$AA$1&amp;Sheet1!W94&amp;CHAR(13)&amp;$Z$1&amp;CHAR(13))&amp;$W$1&amp;CHAR(13)&amp;$V$1&amp;Sheet1!E94&amp;CHAR(13)&amp;$X$1&amp;CHAR(13)&amp;$A94&amp;" = "&amp;Sheet1!A94&amp;",")</f>
        <v>/// &lt;summary&gt;_x000D_/// OUT로봇 피커 P2 흡착에 실패 했습니다_x000D_/// &lt;/summary&gt;_x000D_VC_TRANSFER_ROBOT_OUT_P2_VACUUM = 12130,</v>
      </c>
    </row>
    <row r="95" spans="1:2" x14ac:dyDescent="0.3">
      <c r="A95" t="str">
        <f>IF(ISBLANK(Sheet1!C95),"",SUBSTITUTE(SUBSTITUTE(SUBSTITUTE(SUBSTITUTE(SUBSTITUTE(Sheet1!C95, " ", "_"), "-", "_"), "&amp;", "_"), "/", "_"), "#", "_"))</f>
        <v>VC_TRANSFER_ROBOT_OUT_P2_BLOW</v>
      </c>
      <c r="B95" t="str">
        <f>IF(ISBLANK(Sheet1!A95)=TRUE,"",IF(EXACT(Sheet1!W94,Sheet1!W95)=TRUE,"",$Z$1&amp;CHAR(13)&amp;$AA$1&amp;Sheet1!W95&amp;CHAR(13)&amp;$Z$1&amp;CHAR(13))&amp;$W$1&amp;CHAR(13)&amp;$V$1&amp;Sheet1!E95&amp;CHAR(13)&amp;$X$1&amp;CHAR(13)&amp;$A95&amp;" = "&amp;Sheet1!A95&amp;",")</f>
        <v>/// &lt;summary&gt;_x000D_/// OUT로봇 피커 P2 파기에 실패 했습니다_x000D_/// &lt;/summary&gt;_x000D_VC_TRANSFER_ROBOT_OUT_P2_BLOW = 12131,</v>
      </c>
    </row>
    <row r="96" spans="1:2" x14ac:dyDescent="0.3">
      <c r="A96" t="str">
        <f>IF(ISBLANK(Sheet1!C96),"",SUBSTITUTE(SUBSTITUTE(SUBSTITUTE(SUBSTITUTE(SUBSTITUTE(Sheet1!C96, " ", "_"), "-", "_"), "&amp;", "_"), "/", "_"), "#", "_"))</f>
        <v>SE_TRANSFER_ROBOT_OUT_P2_VACUUM_CHECK</v>
      </c>
      <c r="B96" t="str">
        <f>IF(ISBLANK(Sheet1!A96)=TRUE,"",IF(EXACT(Sheet1!W95,Sheet1!W96)=TRUE,"",$Z$1&amp;CHAR(13)&amp;$AA$1&amp;Sheet1!W96&amp;CHAR(13)&amp;$Z$1&amp;CHAR(13))&amp;$W$1&amp;CHAR(13)&amp;$V$1&amp;Sheet1!E96&amp;CHAR(13)&amp;$X$1&amp;CHAR(13)&amp;$A96&amp;" = "&amp;Sheet1!A96&amp;",")</f>
        <v>/// &lt;summary&gt;_x000D_/// OUT로봇 P2 셀 확인에 실패 했습니다 (진공)_x000D_/// &lt;/summary&gt;_x000D_SE_TRANSFER_ROBOT_OUT_P2_VACUUM_CHECK = 12132,</v>
      </c>
    </row>
    <row r="97" spans="1:2" x14ac:dyDescent="0.3">
      <c r="A97" t="str">
        <f>IF(ISBLANK(Sheet1!C97),"",SUBSTITUTE(SUBSTITUTE(SUBSTITUTE(SUBSTITUTE(SUBSTITUTE(Sheet1!C97, " ", "_"), "-", "_"), "&amp;", "_"), "/", "_"), "#", "_"))</f>
        <v>SE_TRANSFER_ROBOT_OUT_P2_SENSOR_CHECK</v>
      </c>
      <c r="B97" t="str">
        <f>IF(ISBLANK(Sheet1!A97)=TRUE,"",IF(EXACT(Sheet1!W96,Sheet1!W97)=TRUE,"",$Z$1&amp;CHAR(13)&amp;$AA$1&amp;Sheet1!W97&amp;CHAR(13)&amp;$Z$1&amp;CHAR(13))&amp;$W$1&amp;CHAR(13)&amp;$V$1&amp;Sheet1!E97&amp;CHAR(13)&amp;$X$1&amp;CHAR(13)&amp;$A97&amp;" = "&amp;Sheet1!A97&amp;",")</f>
        <v>/// &lt;summary&gt;_x000D_/// OUT로봇 P2 셀 확인에 실패 했습니다 (센서)_x000D_/// &lt;/summary&gt;_x000D_SE_TRANSFER_ROBOT_OUT_P2_SENSOR_CHECK = 12133,</v>
      </c>
    </row>
    <row r="98" spans="1:2" x14ac:dyDescent="0.3">
      <c r="A98" t="str">
        <f>IF(ISBLANK(Sheet1!C98),"",SUBSTITUTE(SUBSTITUTE(SUBSTITUTE(SUBSTITUTE(SUBSTITUTE(Sheet1!C98, " ", "_"), "-", "_"), "&amp;", "_"), "/", "_"), "#", "_"))</f>
        <v>SE_TRANSFER_ROBOT_OUT_P2_VACUUM_OVERLAP</v>
      </c>
      <c r="B98" t="str">
        <f>IF(ISBLANK(Sheet1!A98)=TRUE,"",IF(EXACT(Sheet1!W97,Sheet1!W98)=TRUE,"",$Z$1&amp;CHAR(13)&amp;$AA$1&amp;Sheet1!W98&amp;CHAR(13)&amp;$Z$1&amp;CHAR(13))&amp;$W$1&amp;CHAR(13)&amp;$V$1&amp;Sheet1!E98&amp;CHAR(13)&amp;$X$1&amp;CHAR(13)&amp;$A98&amp;" = "&amp;Sheet1!A98&amp;",")</f>
        <v>/// &lt;summary&gt;_x000D_/// OUT로봇 P2 셀 겹침 확인되었습니다 (진공)_x000D_/// &lt;/summary&gt;_x000D_SE_TRANSFER_ROBOT_OUT_P2_VACUUM_OVERLAP = 12134,</v>
      </c>
    </row>
    <row r="99" spans="1:2" x14ac:dyDescent="0.3">
      <c r="A99" t="str">
        <f>IF(ISBLANK(Sheet1!C99),"",SUBSTITUTE(SUBSTITUTE(SUBSTITUTE(SUBSTITUTE(SUBSTITUTE(Sheet1!C99, " ", "_"), "-", "_"), "&amp;", "_"), "/", "_"), "#", "_"))</f>
        <v>SE_TRANSFER_ROBOT_OUT_P2_SENSOR_OVERLAP</v>
      </c>
      <c r="B99" t="str">
        <f>IF(ISBLANK(Sheet1!A99)=TRUE,"",IF(EXACT(Sheet1!W98,Sheet1!W99)=TRUE,"",$Z$1&amp;CHAR(13)&amp;$AA$1&amp;Sheet1!W99&amp;CHAR(13)&amp;$Z$1&amp;CHAR(13))&amp;$W$1&amp;CHAR(13)&amp;$V$1&amp;Sheet1!E99&amp;CHAR(13)&amp;$X$1&amp;CHAR(13)&amp;$A99&amp;" = "&amp;Sheet1!A99&amp;",")</f>
        <v>/// &lt;summary&gt;_x000D_/// OUT로봇 P2 셀 겹침 확인되었습니다 (센서)_x000D_/// &lt;/summary&gt;_x000D_SE_TRANSFER_ROBOT_OUT_P2_SENSOR_OVERLAP = 12135,</v>
      </c>
    </row>
    <row r="100" spans="1:2" x14ac:dyDescent="0.3">
      <c r="A100" t="str">
        <f>IF(ISBLANK(Sheet1!C100),"",SUBSTITUTE(SUBSTITUTE(SUBSTITUTE(SUBSTITUTE(SUBSTITUTE(Sheet1!C100, " ", "_"), "-", "_"), "&amp;", "_"), "/", "_"), "#", "_"))</f>
        <v>CO_TRANSFER_ROBOT_OUT_ALIGN_DATA</v>
      </c>
      <c r="B100" t="str">
        <f>IF(ISBLANK(Sheet1!A100)=TRUE,"",IF(EXACT(Sheet1!W99,Sheet1!W100)=TRUE,"",$Z$1&amp;CHAR(13)&amp;$AA$1&amp;Sheet1!W100&amp;CHAR(13)&amp;$Z$1&amp;CHAR(13))&amp;$W$1&amp;CHAR(13)&amp;$V$1&amp;Sheet1!E100&amp;CHAR(13)&amp;$X$1&amp;CHAR(13)&amp;$A100&amp;" = "&amp;Sheet1!A100&amp;",")</f>
        <v>/// &lt;summary&gt;_x000D_/// OUT로봇 얼라인 데이터 전송에 실패 했습니다_x000D_/// &lt;/summary&gt;_x000D_CO_TRANSFER_ROBOT_OUT_ALIGN_DATA = 12400,</v>
      </c>
    </row>
    <row r="101" spans="1:2" x14ac:dyDescent="0.3">
      <c r="A101" t="str">
        <f>IF(ISBLANK(Sheet1!C101),"",SUBSTITUTE(SUBSTITUTE(SUBSTITUTE(SUBSTITUTE(SUBSTITUTE(Sheet1!C101, " ", "_"), "-", "_"), "&amp;", "_"), "/", "_"), "#", "_"))</f>
        <v>CO_TRANSFER_ROBOT_OUT_RESET_DATA</v>
      </c>
      <c r="B101" t="str">
        <f>IF(ISBLANK(Sheet1!A101)=TRUE,"",IF(EXACT(Sheet1!W100,Sheet1!W101)=TRUE,"",$Z$1&amp;CHAR(13)&amp;$AA$1&amp;Sheet1!W101&amp;CHAR(13)&amp;$Z$1&amp;CHAR(13))&amp;$W$1&amp;CHAR(13)&amp;$V$1&amp;Sheet1!E101&amp;CHAR(13)&amp;$X$1&amp;CHAR(13)&amp;$A101&amp;" = "&amp;Sheet1!A101&amp;",")</f>
        <v>/// &lt;summary&gt;_x000D_/// OUT로봇 얼라인 초기화 데이터 전송에 실패 했습니다_x000D_/// &lt;/summary&gt;_x000D_CO_TRANSFER_ROBOT_OUT_RESET_DATA = 12401,</v>
      </c>
    </row>
    <row r="102" spans="1:2" x14ac:dyDescent="0.3">
      <c r="A102" t="str">
        <f>IF(ISBLANK(Sheet1!C102),"",SUBSTITUTE(SUBSTITUTE(SUBSTITUTE(SUBSTITUTE(SUBSTITUTE(Sheet1!C102, " ", "_"), "-", "_"), "&amp;", "_"), "/", "_"), "#", "_"))</f>
        <v>CO_TRANSFER_ROBOT_OUT_CALIBRATION_DATA</v>
      </c>
      <c r="B102" t="str">
        <f>IF(ISBLANK(Sheet1!A102)=TRUE,"",IF(EXACT(Sheet1!W101,Sheet1!W102)=TRUE,"",$Z$1&amp;CHAR(13)&amp;$AA$1&amp;Sheet1!W102&amp;CHAR(13)&amp;$Z$1&amp;CHAR(13))&amp;$W$1&amp;CHAR(13)&amp;$V$1&amp;Sheet1!E102&amp;CHAR(13)&amp;$X$1&amp;CHAR(13)&amp;$A102&amp;" = "&amp;Sheet1!A102&amp;",")</f>
        <v>/// &lt;summary&gt;_x000D_/// OUT로봇 켈리브레이션 데이터 전송에 실패 했습니다_x000D_/// &lt;/summary&gt;_x000D_CO_TRANSFER_ROBOT_OUT_CALIBRATION_DATA = 12402,</v>
      </c>
    </row>
    <row r="103" spans="1:2" x14ac:dyDescent="0.3">
      <c r="A103" t="str">
        <f>IF(ISBLANK(Sheet1!C103),"",SUBSTITUTE(SUBSTITUTE(SUBSTITUTE(SUBSTITUTE(SUBSTITUTE(Sheet1!C103, " ", "_"), "-", "_"), "&amp;", "_"), "/", "_"), "#", "_"))</f>
        <v>MO_OUT_FLIP_R1_HOME_MOTION</v>
      </c>
      <c r="B103" t="str">
        <f>IF(ISBLANK(Sheet1!A103)=TRUE,"",IF(EXACT(Sheet1!W102,Sheet1!W103)=TRUE,"",$Z$1&amp;CHAR(13)&amp;$AA$1&amp;Sheet1!W103&amp;CHAR(13)&amp;$Z$1&amp;CHAR(13))&amp;$W$1&amp;CHAR(13)&amp;$V$1&amp;Sheet1!E103&amp;CHAR(13)&amp;$X$1&amp;CHAR(13)&amp;$A103&amp;" = "&amp;Sheet1!A103&amp;",")</f>
        <v>//////////////////////////////////////////////////////////////////////////_x000D_// OUT_FLIP_x000D_//////////////////////////////////////////////////////////////////////////_x000D_/// &lt;summary&gt;_x000D_/// OUT플립 R1축이 홈 동작 진행에 실패 했습니다_x000D_/// &lt;/summary&gt;_x000D_MO_OUT_FLIP_R1_HOME_MOTION = 13000,</v>
      </c>
    </row>
    <row r="104" spans="1:2" x14ac:dyDescent="0.3">
      <c r="A104" t="str">
        <f>IF(ISBLANK(Sheet1!C104),"",SUBSTITUTE(SUBSTITUTE(SUBSTITUTE(SUBSTITUTE(SUBSTITUTE(Sheet1!C104, " ", "_"), "-", "_"), "&amp;", "_"), "/", "_"), "#", "_"))</f>
        <v>MO_OUT_FLIP_R1_LOAD_MOVE</v>
      </c>
      <c r="B104" t="str">
        <f>IF(ISBLANK(Sheet1!A104)=TRUE,"",IF(EXACT(Sheet1!W103,Sheet1!W104)=TRUE,"",$Z$1&amp;CHAR(13)&amp;$AA$1&amp;Sheet1!W104&amp;CHAR(13)&amp;$Z$1&amp;CHAR(13))&amp;$W$1&amp;CHAR(13)&amp;$V$1&amp;Sheet1!E104&amp;CHAR(13)&amp;$X$1&amp;CHAR(13)&amp;$A104&amp;" = "&amp;Sheet1!A104&amp;",")</f>
        <v>/// &lt;summary&gt;_x000D_/// OUT플립 R1축 로드 위치 이동에 실패 했습니다 (OUT로봇 위치)_x000D_/// &lt;/summary&gt;_x000D_MO_OUT_FLIP_R1_LOAD_MOVE = 13001,</v>
      </c>
    </row>
    <row r="105" spans="1:2" x14ac:dyDescent="0.3">
      <c r="A105" t="str">
        <f>IF(ISBLANK(Sheet1!C105),"",SUBSTITUTE(SUBSTITUTE(SUBSTITUTE(SUBSTITUTE(SUBSTITUTE(Sheet1!C105, " ", "_"), "-", "_"), "&amp;", "_"), "/", "_"), "#", "_"))</f>
        <v>MO_OUT_FLIP_R1_UNLOAD_MOVE</v>
      </c>
      <c r="B105" t="str">
        <f>IF(ISBLANK(Sheet1!A105)=TRUE,"",IF(EXACT(Sheet1!W104,Sheet1!W105)=TRUE,"",$Z$1&amp;CHAR(13)&amp;$AA$1&amp;Sheet1!W105&amp;CHAR(13)&amp;$Z$1&amp;CHAR(13))&amp;$W$1&amp;CHAR(13)&amp;$V$1&amp;Sheet1!E105&amp;CHAR(13)&amp;$X$1&amp;CHAR(13)&amp;$A105&amp;" = "&amp;Sheet1!A105&amp;",")</f>
        <v>/// &lt;summary&gt;_x000D_/// OUT플립 R1축 언로드 위치 이동에 실패 했습니다 (OUT컨베이어 위치)_x000D_/// &lt;/summary&gt;_x000D_MO_OUT_FLIP_R1_UNLOAD_MOVE = 13002,</v>
      </c>
    </row>
    <row r="106" spans="1:2" x14ac:dyDescent="0.3">
      <c r="A106" t="str">
        <f>IF(ISBLANK(Sheet1!C106),"",SUBSTITUTE(SUBSTITUTE(SUBSTITUTE(SUBSTITUTE(SUBSTITUTE(Sheet1!C106, " ", "_"), "-", "_"), "&amp;", "_"), "/", "_"), "#", "_"))</f>
        <v>MO_OUT_FLIP_R2_HOME_MOTION</v>
      </c>
      <c r="B106" t="str">
        <f>IF(ISBLANK(Sheet1!A106)=TRUE,"",IF(EXACT(Sheet1!W105,Sheet1!W106)=TRUE,"",$Z$1&amp;CHAR(13)&amp;$AA$1&amp;Sheet1!W106&amp;CHAR(13)&amp;$Z$1&amp;CHAR(13))&amp;$W$1&amp;CHAR(13)&amp;$V$1&amp;Sheet1!E106&amp;CHAR(13)&amp;$X$1&amp;CHAR(13)&amp;$A106&amp;" = "&amp;Sheet1!A106&amp;",")</f>
        <v>/// &lt;summary&gt;_x000D_/// OUT플립 R2축이 홈 동작 진행에 실패 했습니다_x000D_/// &lt;/summary&gt;_x000D_MO_OUT_FLIP_R2_HOME_MOTION = 13010,</v>
      </c>
    </row>
    <row r="107" spans="1:2" x14ac:dyDescent="0.3">
      <c r="A107" t="str">
        <f>IF(ISBLANK(Sheet1!C107),"",SUBSTITUTE(SUBSTITUTE(SUBSTITUTE(SUBSTITUTE(SUBSTITUTE(Sheet1!C107, " ", "_"), "-", "_"), "&amp;", "_"), "/", "_"), "#", "_"))</f>
        <v>MO_OUT_FLIP_R2_LOAD_MOVE</v>
      </c>
      <c r="B107" t="str">
        <f>IF(ISBLANK(Sheet1!A107)=TRUE,"",IF(EXACT(Sheet1!W106,Sheet1!W107)=TRUE,"",$Z$1&amp;CHAR(13)&amp;$AA$1&amp;Sheet1!W107&amp;CHAR(13)&amp;$Z$1&amp;CHAR(13))&amp;$W$1&amp;CHAR(13)&amp;$V$1&amp;Sheet1!E107&amp;CHAR(13)&amp;$X$1&amp;CHAR(13)&amp;$A107&amp;" = "&amp;Sheet1!A107&amp;",")</f>
        <v>/// &lt;summary&gt;_x000D_/// OUT플립 R2축 로드 위치 이동에 실패 했습니다 (OUT로봇 위치)_x000D_/// &lt;/summary&gt;_x000D_MO_OUT_FLIP_R2_LOAD_MOVE = 13011,</v>
      </c>
    </row>
    <row r="108" spans="1:2" x14ac:dyDescent="0.3">
      <c r="A108" t="str">
        <f>IF(ISBLANK(Sheet1!C108),"",SUBSTITUTE(SUBSTITUTE(SUBSTITUTE(SUBSTITUTE(SUBSTITUTE(Sheet1!C108, " ", "_"), "-", "_"), "&amp;", "_"), "/", "_"), "#", "_"))</f>
        <v>MO_OUT_FLIP_R2_UNLOAD_MOVE</v>
      </c>
      <c r="B108" t="str">
        <f>IF(ISBLANK(Sheet1!A108)=TRUE,"",IF(EXACT(Sheet1!W107,Sheet1!W108)=TRUE,"",$Z$1&amp;CHAR(13)&amp;$AA$1&amp;Sheet1!W108&amp;CHAR(13)&amp;$Z$1&amp;CHAR(13))&amp;$W$1&amp;CHAR(13)&amp;$V$1&amp;Sheet1!E108&amp;CHAR(13)&amp;$X$1&amp;CHAR(13)&amp;$A108&amp;" = "&amp;Sheet1!A108&amp;",")</f>
        <v>/// &lt;summary&gt;_x000D_/// OUT플립 R2축 언로드 위치 이동에 실패 했습니다 (OUT컨베이어 위치)_x000D_/// &lt;/summary&gt;_x000D_MO_OUT_FLIP_R2_UNLOAD_MOVE = 13012,</v>
      </c>
    </row>
    <row r="109" spans="1:2" x14ac:dyDescent="0.3">
      <c r="A109" t="str">
        <f>IF(ISBLANK(Sheet1!C109),"",SUBSTITUTE(SUBSTITUTE(SUBSTITUTE(SUBSTITUTE(SUBSTITUTE(Sheet1!C109, " ", "_"), "-", "_"), "&amp;", "_"), "/", "_"), "#", "_"))</f>
        <v>MO_OUT_FLIP_Z_HOME_MOTION</v>
      </c>
      <c r="B109" t="str">
        <f>IF(ISBLANK(Sheet1!A109)=TRUE,"",IF(EXACT(Sheet1!W108,Sheet1!W109)=TRUE,"",$Z$1&amp;CHAR(13)&amp;$AA$1&amp;Sheet1!W109&amp;CHAR(13)&amp;$Z$1&amp;CHAR(13))&amp;$W$1&amp;CHAR(13)&amp;$V$1&amp;Sheet1!E109&amp;CHAR(13)&amp;$X$1&amp;CHAR(13)&amp;$A109&amp;" = "&amp;Sheet1!A109&amp;",")</f>
        <v>/// &lt;summary&gt;_x000D_/// OUT플립 Z축이 홈 동작 진행에 실패 했습니다_x000D_/// &lt;/summary&gt;_x000D_MO_OUT_FLIP_Z_HOME_MOTION = 13020,</v>
      </c>
    </row>
    <row r="110" spans="1:2" x14ac:dyDescent="0.3">
      <c r="A110" t="str">
        <f>IF(ISBLANK(Sheet1!C110),"",SUBSTITUTE(SUBSTITUTE(SUBSTITUTE(SUBSTITUTE(SUBSTITUTE(Sheet1!C110, " ", "_"), "-", "_"), "&amp;", "_"), "/", "_"), "#", "_"))</f>
        <v>MO_OUT_FLIP_Z_UP_MOVE</v>
      </c>
      <c r="B110" t="str">
        <f>IF(ISBLANK(Sheet1!A110)=TRUE,"",IF(EXACT(Sheet1!W109,Sheet1!W110)=TRUE,"",$Z$1&amp;CHAR(13)&amp;$AA$1&amp;Sheet1!W110&amp;CHAR(13)&amp;$Z$1&amp;CHAR(13))&amp;$W$1&amp;CHAR(13)&amp;$V$1&amp;Sheet1!E110&amp;CHAR(13)&amp;$X$1&amp;CHAR(13)&amp;$A110&amp;" = "&amp;Sheet1!A110&amp;",")</f>
        <v>/// &lt;summary&gt;_x000D_/// OUT플립 Z축 상승 위치 이동에 실패 했습니다_x000D_/// &lt;/summary&gt;_x000D_MO_OUT_FLIP_Z_UP_MOVE = 13021,</v>
      </c>
    </row>
    <row r="111" spans="1:2" x14ac:dyDescent="0.3">
      <c r="A111" t="str">
        <f>IF(ISBLANK(Sheet1!C111),"",SUBSTITUTE(SUBSTITUTE(SUBSTITUTE(SUBSTITUTE(SUBSTITUTE(Sheet1!C111, " ", "_"), "-", "_"), "&amp;", "_"), "/", "_"), "#", "_"))</f>
        <v>MO_OUT_FLIP_Z_DOWN_MOVE</v>
      </c>
      <c r="B111" t="str">
        <f>IF(ISBLANK(Sheet1!A111)=TRUE,"",IF(EXACT(Sheet1!W110,Sheet1!W111)=TRUE,"",$Z$1&amp;CHAR(13)&amp;$AA$1&amp;Sheet1!W111&amp;CHAR(13)&amp;$Z$1&amp;CHAR(13))&amp;$W$1&amp;CHAR(13)&amp;$V$1&amp;Sheet1!E111&amp;CHAR(13)&amp;$X$1&amp;CHAR(13)&amp;$A111&amp;" = "&amp;Sheet1!A111&amp;",")</f>
        <v>/// &lt;summary&gt;_x000D_/// OUT플립 Z축 하강 위치 이동에 실패 했습니다_x000D_/// &lt;/summary&gt;_x000D_MO_OUT_FLIP_Z_DOWN_MOVE = 13022,</v>
      </c>
    </row>
    <row r="112" spans="1:2" x14ac:dyDescent="0.3">
      <c r="A112" t="str">
        <f>IF(ISBLANK(Sheet1!C112),"",SUBSTITUTE(SUBSTITUTE(SUBSTITUTE(SUBSTITUTE(SUBSTITUTE(Sheet1!C112, " ", "_"), "-", "_"), "&amp;", "_"), "/", "_"), "#", "_"))</f>
        <v>VC_OUT_FLIP_P1_VACUUM</v>
      </c>
      <c r="B112" t="str">
        <f>IF(ISBLANK(Sheet1!A112)=TRUE,"",IF(EXACT(Sheet1!W111,Sheet1!W112)=TRUE,"",$Z$1&amp;CHAR(13)&amp;$AA$1&amp;Sheet1!W112&amp;CHAR(13)&amp;$Z$1&amp;CHAR(13))&amp;$W$1&amp;CHAR(13)&amp;$V$1&amp;Sheet1!E112&amp;CHAR(13)&amp;$X$1&amp;CHAR(13)&amp;$A112&amp;" = "&amp;Sheet1!A112&amp;",")</f>
        <v>/// &lt;summary&gt;_x000D_/// OUT플립 피커 P1 흡착에 실패 했습니다_x000D_/// &lt;/summary&gt;_x000D_VC_OUT_FLIP_P1_VACUUM = 13100,</v>
      </c>
    </row>
    <row r="113" spans="1:2" x14ac:dyDescent="0.3">
      <c r="A113" t="str">
        <f>IF(ISBLANK(Sheet1!C113),"",SUBSTITUTE(SUBSTITUTE(SUBSTITUTE(SUBSTITUTE(SUBSTITUTE(Sheet1!C113, " ", "_"), "-", "_"), "&amp;", "_"), "/", "_"), "#", "_"))</f>
        <v>VC_OUT_FLIP_P1_BLOW</v>
      </c>
      <c r="B113" t="str">
        <f>IF(ISBLANK(Sheet1!A113)=TRUE,"",IF(EXACT(Sheet1!W112,Sheet1!W113)=TRUE,"",$Z$1&amp;CHAR(13)&amp;$AA$1&amp;Sheet1!W113&amp;CHAR(13)&amp;$Z$1&amp;CHAR(13))&amp;$W$1&amp;CHAR(13)&amp;$V$1&amp;Sheet1!E113&amp;CHAR(13)&amp;$X$1&amp;CHAR(13)&amp;$A113&amp;" = "&amp;Sheet1!A113&amp;",")</f>
        <v>/// &lt;summary&gt;_x000D_/// OUT플립 피커 P1 파기에 실패 했습니다_x000D_/// &lt;/summary&gt;_x000D_VC_OUT_FLIP_P1_BLOW = 13101,</v>
      </c>
    </row>
    <row r="114" spans="1:2" x14ac:dyDescent="0.3">
      <c r="A114" t="str">
        <f>IF(ISBLANK(Sheet1!C114),"",SUBSTITUTE(SUBSTITUTE(SUBSTITUTE(SUBSTITUTE(SUBSTITUTE(Sheet1!C114, " ", "_"), "-", "_"), "&amp;", "_"), "/", "_"), "#", "_"))</f>
        <v>SE_OUT_FLIP_P1_VACUUM_CHECK</v>
      </c>
      <c r="B114" t="str">
        <f>IF(ISBLANK(Sheet1!A114)=TRUE,"",IF(EXACT(Sheet1!W113,Sheet1!W114)=TRUE,"",$Z$1&amp;CHAR(13)&amp;$AA$1&amp;Sheet1!W114&amp;CHAR(13)&amp;$Z$1&amp;CHAR(13))&amp;$W$1&amp;CHAR(13)&amp;$V$1&amp;Sheet1!E114&amp;CHAR(13)&amp;$X$1&amp;CHAR(13)&amp;$A114&amp;" = "&amp;Sheet1!A114&amp;",")</f>
        <v>/// &lt;summary&gt;_x000D_/// OUT플립 P1 셀 확인에 실패 했습니다 (진공)_x000D_/// &lt;/summary&gt;_x000D_SE_OUT_FLIP_P1_VACUUM_CHECK = 13102,</v>
      </c>
    </row>
    <row r="115" spans="1:2" x14ac:dyDescent="0.3">
      <c r="A115" t="str">
        <f>IF(ISBLANK(Sheet1!C115),"",SUBSTITUTE(SUBSTITUTE(SUBSTITUTE(SUBSTITUTE(SUBSTITUTE(Sheet1!C115, " ", "_"), "-", "_"), "&amp;", "_"), "/", "_"), "#", "_"))</f>
        <v>SE_OUT_FLIP_P1_SENSOR_CHECK</v>
      </c>
      <c r="B115" t="str">
        <f>IF(ISBLANK(Sheet1!A115)=TRUE,"",IF(EXACT(Sheet1!W114,Sheet1!W115)=TRUE,"",$Z$1&amp;CHAR(13)&amp;$AA$1&amp;Sheet1!W115&amp;CHAR(13)&amp;$Z$1&amp;CHAR(13))&amp;$W$1&amp;CHAR(13)&amp;$V$1&amp;Sheet1!E115&amp;CHAR(13)&amp;$X$1&amp;CHAR(13)&amp;$A115&amp;" = "&amp;Sheet1!A115&amp;",")</f>
        <v>/// &lt;summary&gt;_x000D_/// OUT플립 P1 셀 확인에 실패 했습니다 (센서)_x000D_/// &lt;/summary&gt;_x000D_SE_OUT_FLIP_P1_SENSOR_CHECK = 13103,</v>
      </c>
    </row>
    <row r="116" spans="1:2" x14ac:dyDescent="0.3">
      <c r="A116" t="str">
        <f>IF(ISBLANK(Sheet1!C116),"",SUBSTITUTE(SUBSTITUTE(SUBSTITUTE(SUBSTITUTE(SUBSTITUTE(Sheet1!C116, " ", "_"), "-", "_"), "&amp;", "_"), "/", "_"), "#", "_"))</f>
        <v>SE_OUT_FLIP_P1_VACUUM_OVERLAP</v>
      </c>
      <c r="B116" t="str">
        <f>IF(ISBLANK(Sheet1!A116)=TRUE,"",IF(EXACT(Sheet1!W115,Sheet1!W116)=TRUE,"",$Z$1&amp;CHAR(13)&amp;$AA$1&amp;Sheet1!W116&amp;CHAR(13)&amp;$Z$1&amp;CHAR(13))&amp;$W$1&amp;CHAR(13)&amp;$V$1&amp;Sheet1!E116&amp;CHAR(13)&amp;$X$1&amp;CHAR(13)&amp;$A116&amp;" = "&amp;Sheet1!A116&amp;",")</f>
        <v>/// &lt;summary&gt;_x000D_/// OUT플립 P1 셀 겹침 확인되었습니다 (진공)_x000D_/// &lt;/summary&gt;_x000D_SE_OUT_FLIP_P1_VACUUM_OVERLAP = 13104,</v>
      </c>
    </row>
    <row r="117" spans="1:2" x14ac:dyDescent="0.3">
      <c r="A117" t="str">
        <f>IF(ISBLANK(Sheet1!C117),"",SUBSTITUTE(SUBSTITUTE(SUBSTITUTE(SUBSTITUTE(SUBSTITUTE(Sheet1!C117, " ", "_"), "-", "_"), "&amp;", "_"), "/", "_"), "#", "_"))</f>
        <v>SE_OUT_FLIP_P1_SENSOR_OVERLAP</v>
      </c>
      <c r="B117" t="str">
        <f>IF(ISBLANK(Sheet1!A117)=TRUE,"",IF(EXACT(Sheet1!W116,Sheet1!W117)=TRUE,"",$Z$1&amp;CHAR(13)&amp;$AA$1&amp;Sheet1!W117&amp;CHAR(13)&amp;$Z$1&amp;CHAR(13))&amp;$W$1&amp;CHAR(13)&amp;$V$1&amp;Sheet1!E117&amp;CHAR(13)&amp;$X$1&amp;CHAR(13)&amp;$A117&amp;" = "&amp;Sheet1!A117&amp;",")</f>
        <v>/// &lt;summary&gt;_x000D_/// OUT플립 P1 셀 겹침 확인되었습니다 (센서)_x000D_/// &lt;/summary&gt;_x000D_SE_OUT_FLIP_P1_SENSOR_OVERLAP = 13105,</v>
      </c>
    </row>
    <row r="118" spans="1:2" x14ac:dyDescent="0.3">
      <c r="A118" t="str">
        <f>IF(ISBLANK(Sheet1!C118),"",SUBSTITUTE(SUBSTITUTE(SUBSTITUTE(SUBSTITUTE(SUBSTITUTE(Sheet1!C118, " ", "_"), "-", "_"), "&amp;", "_"), "/", "_"), "#", "_"))</f>
        <v>VC_OUT_FLIP_P2_VACUUM</v>
      </c>
      <c r="B118" t="str">
        <f>IF(ISBLANK(Sheet1!A118)=TRUE,"",IF(EXACT(Sheet1!W117,Sheet1!W118)=TRUE,"",$Z$1&amp;CHAR(13)&amp;$AA$1&amp;Sheet1!W118&amp;CHAR(13)&amp;$Z$1&amp;CHAR(13))&amp;$W$1&amp;CHAR(13)&amp;$V$1&amp;Sheet1!E118&amp;CHAR(13)&amp;$X$1&amp;CHAR(13)&amp;$A118&amp;" = "&amp;Sheet1!A118&amp;",")</f>
        <v>/// &lt;summary&gt;_x000D_/// OUT플립 피커 P2 흡착에 실패 했습니다_x000D_/// &lt;/summary&gt;_x000D_VC_OUT_FLIP_P2_VACUUM = 13110,</v>
      </c>
    </row>
    <row r="119" spans="1:2" x14ac:dyDescent="0.3">
      <c r="A119" t="str">
        <f>IF(ISBLANK(Sheet1!C119),"",SUBSTITUTE(SUBSTITUTE(SUBSTITUTE(SUBSTITUTE(SUBSTITUTE(Sheet1!C119, " ", "_"), "-", "_"), "&amp;", "_"), "/", "_"), "#", "_"))</f>
        <v>VC_OUT_FLIP_P2_BLOW</v>
      </c>
      <c r="B119" t="str">
        <f>IF(ISBLANK(Sheet1!A119)=TRUE,"",IF(EXACT(Sheet1!W118,Sheet1!W119)=TRUE,"",$Z$1&amp;CHAR(13)&amp;$AA$1&amp;Sheet1!W119&amp;CHAR(13)&amp;$Z$1&amp;CHAR(13))&amp;$W$1&amp;CHAR(13)&amp;$V$1&amp;Sheet1!E119&amp;CHAR(13)&amp;$X$1&amp;CHAR(13)&amp;$A119&amp;" = "&amp;Sheet1!A119&amp;",")</f>
        <v>/// &lt;summary&gt;_x000D_/// OUT플립 피커 P2 파기에 실패 했습니다_x000D_/// &lt;/summary&gt;_x000D_VC_OUT_FLIP_P2_BLOW = 13111,</v>
      </c>
    </row>
    <row r="120" spans="1:2" x14ac:dyDescent="0.3">
      <c r="A120" t="str">
        <f>IF(ISBLANK(Sheet1!C120),"",SUBSTITUTE(SUBSTITUTE(SUBSTITUTE(SUBSTITUTE(SUBSTITUTE(Sheet1!C120, " ", "_"), "-", "_"), "&amp;", "_"), "/", "_"), "#", "_"))</f>
        <v>SE_OUT_FLIP_P2_VACUUM_CHECK</v>
      </c>
      <c r="B120" t="str">
        <f>IF(ISBLANK(Sheet1!A120)=TRUE,"",IF(EXACT(Sheet1!W119,Sheet1!W120)=TRUE,"",$Z$1&amp;CHAR(13)&amp;$AA$1&amp;Sheet1!W120&amp;CHAR(13)&amp;$Z$1&amp;CHAR(13))&amp;$W$1&amp;CHAR(13)&amp;$V$1&amp;Sheet1!E120&amp;CHAR(13)&amp;$X$1&amp;CHAR(13)&amp;$A120&amp;" = "&amp;Sheet1!A120&amp;",")</f>
        <v>/// &lt;summary&gt;_x000D_/// OUT플립 P2 셀 확인에 실패 했습니다 (진공)_x000D_/// &lt;/summary&gt;_x000D_SE_OUT_FLIP_P2_VACUUM_CHECK = 13112,</v>
      </c>
    </row>
    <row r="121" spans="1:2" x14ac:dyDescent="0.3">
      <c r="A121" t="str">
        <f>IF(ISBLANK(Sheet1!C121),"",SUBSTITUTE(SUBSTITUTE(SUBSTITUTE(SUBSTITUTE(SUBSTITUTE(Sheet1!C121, " ", "_"), "-", "_"), "&amp;", "_"), "/", "_"), "#", "_"))</f>
        <v>SE_OUT_FLIP_P2_SENSOR_CHECK</v>
      </c>
      <c r="B121" t="str">
        <f>IF(ISBLANK(Sheet1!A121)=TRUE,"",IF(EXACT(Sheet1!W120,Sheet1!W121)=TRUE,"",$Z$1&amp;CHAR(13)&amp;$AA$1&amp;Sheet1!W121&amp;CHAR(13)&amp;$Z$1&amp;CHAR(13))&amp;$W$1&amp;CHAR(13)&amp;$V$1&amp;Sheet1!E121&amp;CHAR(13)&amp;$X$1&amp;CHAR(13)&amp;$A121&amp;" = "&amp;Sheet1!A121&amp;",")</f>
        <v>/// &lt;summary&gt;_x000D_/// OUT플립 P2 셀 확인에 실패 했습니다 (센서)_x000D_/// &lt;/summary&gt;_x000D_SE_OUT_FLIP_P2_SENSOR_CHECK = 13113,</v>
      </c>
    </row>
    <row r="122" spans="1:2" x14ac:dyDescent="0.3">
      <c r="A122" t="str">
        <f>IF(ISBLANK(Sheet1!C122),"",SUBSTITUTE(SUBSTITUTE(SUBSTITUTE(SUBSTITUTE(SUBSTITUTE(Sheet1!C122, " ", "_"), "-", "_"), "&amp;", "_"), "/", "_"), "#", "_"))</f>
        <v>SE_OUT_FLIP_P2_VACUUM_OVERLAP</v>
      </c>
      <c r="B122" t="str">
        <f>IF(ISBLANK(Sheet1!A122)=TRUE,"",IF(EXACT(Sheet1!W121,Sheet1!W122)=TRUE,"",$Z$1&amp;CHAR(13)&amp;$AA$1&amp;Sheet1!W122&amp;CHAR(13)&amp;$Z$1&amp;CHAR(13))&amp;$W$1&amp;CHAR(13)&amp;$V$1&amp;Sheet1!E122&amp;CHAR(13)&amp;$X$1&amp;CHAR(13)&amp;$A122&amp;" = "&amp;Sheet1!A122&amp;",")</f>
        <v>/// &lt;summary&gt;_x000D_/// OUT플립 P2 셀 겹침 확인되었습니다 (진공)_x000D_/// &lt;/summary&gt;_x000D_SE_OUT_FLIP_P2_VACUUM_OVERLAP = 13114,</v>
      </c>
    </row>
    <row r="123" spans="1:2" x14ac:dyDescent="0.3">
      <c r="A123" t="str">
        <f>IF(ISBLANK(Sheet1!C123),"",SUBSTITUTE(SUBSTITUTE(SUBSTITUTE(SUBSTITUTE(SUBSTITUTE(Sheet1!C123, " ", "_"), "-", "_"), "&amp;", "_"), "/", "_"), "#", "_"))</f>
        <v>SE_OUT_FLIP_P2_SENSOR_OVERLAP</v>
      </c>
      <c r="B123" t="str">
        <f>IF(ISBLANK(Sheet1!A123)=TRUE,"",IF(EXACT(Sheet1!W122,Sheet1!W123)=TRUE,"",$Z$1&amp;CHAR(13)&amp;$AA$1&amp;Sheet1!W123&amp;CHAR(13)&amp;$Z$1&amp;CHAR(13))&amp;$W$1&amp;CHAR(13)&amp;$V$1&amp;Sheet1!E123&amp;CHAR(13)&amp;$X$1&amp;CHAR(13)&amp;$A123&amp;" = "&amp;Sheet1!A123&amp;",")</f>
        <v>/// &lt;summary&gt;_x000D_/// OUT플립 P2 셀 겹침 확인되었습니다 (센서)_x000D_/// &lt;/summary&gt;_x000D_SE_OUT_FLIP_P2_SENSOR_OVERLAP = 13115,</v>
      </c>
    </row>
    <row r="124" spans="1:2" x14ac:dyDescent="0.3">
      <c r="A124" t="str">
        <f>IF(ISBLANK(Sheet1!C124),"",SUBSTITUTE(SUBSTITUTE(SUBSTITUTE(SUBSTITUTE(SUBSTITUTE(Sheet1!C124, " ", "_"), "-", "_"), "&amp;", "_"), "/", "_"), "#", "_"))</f>
        <v>MO_UNLOADER_CONVEYOR_X2_HOME_MOTION</v>
      </c>
      <c r="B124" t="str">
        <f>IF(ISBLANK(Sheet1!A124)=TRUE,"",IF(EXACT(Sheet1!W123,Sheet1!W124)=TRUE,"",$Z$1&amp;CHAR(13)&amp;$AA$1&amp;Sheet1!W124&amp;CHAR(13)&amp;$Z$1&amp;CHAR(13))&amp;$W$1&amp;CHAR(13)&amp;$V$1&amp;Sheet1!E124&amp;CHAR(13)&amp;$X$1&amp;CHAR(13)&amp;$A124&amp;" = "&amp;Sheet1!A124&amp;",")</f>
        <v>//////////////////////////////////////////////////////////////////////////_x000D_// OUT_CONVEYOR_x000D_//////////////////////////////////////////////////////////////////////////_x000D_/// &lt;summary&gt;_x000D_/// OUT컨베이어 X2축이 홈 동작 진행에 실패 했습니다_x000D_/// &lt;/summary&gt;_x000D_MO_UNLOADER_CONVEYOR_X2_HOME_MOTION = 13500,</v>
      </c>
    </row>
    <row r="125" spans="1:2" x14ac:dyDescent="0.3">
      <c r="A125" t="str">
        <f>IF(ISBLANK(Sheet1!C125),"",SUBSTITUTE(SUBSTITUTE(SUBSTITUTE(SUBSTITUTE(SUBSTITUTE(Sheet1!C125, " ", "_"), "-", "_"), "&amp;", "_"), "/", "_"), "#", "_"))</f>
        <v>MO_UNLOADER_CONVEYOR_X2_POSITION_RESET</v>
      </c>
      <c r="B125" t="str">
        <f>IF(ISBLANK(Sheet1!A125)=TRUE,"",IF(EXACT(Sheet1!W124,Sheet1!W125)=TRUE,"",$Z$1&amp;CHAR(13)&amp;$AA$1&amp;Sheet1!W125&amp;CHAR(13)&amp;$Z$1&amp;CHAR(13))&amp;$W$1&amp;CHAR(13)&amp;$V$1&amp;Sheet1!E125&amp;CHAR(13)&amp;$X$1&amp;CHAR(13)&amp;$A125&amp;" = "&amp;Sheet1!A125&amp;",")</f>
        <v>/// &lt;summary&gt;_x000D_/// OUT컨베이어 X2축 포지션 초기화 동작에 실패 했습니다_x000D_/// &lt;/summary&gt;_x000D_MO_UNLOADER_CONVEYOR_X2_POSITION_RESET = 13501,</v>
      </c>
    </row>
    <row r="126" spans="1:2" x14ac:dyDescent="0.3">
      <c r="A126" t="str">
        <f>IF(ISBLANK(Sheet1!C126),"",SUBSTITUTE(SUBSTITUTE(SUBSTITUTE(SUBSTITUTE(SUBSTITUTE(Sheet1!C126, " ", "_"), "-", "_"), "&amp;", "_"), "/", "_"), "#", "_"))</f>
        <v>MO_UNLOADER_CONVEYOR_X2_UNLOAD_MOVE</v>
      </c>
      <c r="B126" t="str">
        <f>IF(ISBLANK(Sheet1!A126)=TRUE,"",IF(EXACT(Sheet1!W125,Sheet1!W126)=TRUE,"",$Z$1&amp;CHAR(13)&amp;$AA$1&amp;Sheet1!W126&amp;CHAR(13)&amp;$Z$1&amp;CHAR(13))&amp;$W$1&amp;CHAR(13)&amp;$V$1&amp;Sheet1!E126&amp;CHAR(13)&amp;$X$1&amp;CHAR(13)&amp;$A126&amp;" = "&amp;Sheet1!A126&amp;",")</f>
        <v>/// &lt;summary&gt;_x000D_/// OUT컨베이어 X2축이 언로드 위치 이동에 실패 했습니다 (하류설비 위치)_x000D_/// &lt;/summary&gt;_x000D_MO_UNLOADER_CONVEYOR_X2_UNLOAD_MOVE = 13502,</v>
      </c>
    </row>
    <row r="127" spans="1:2" x14ac:dyDescent="0.3">
      <c r="A127" t="str">
        <f>IF(ISBLANK(Sheet1!C127),"",SUBSTITUTE(SUBSTITUTE(SUBSTITUTE(SUBSTITUTE(SUBSTITUTE(Sheet1!C127, " ", "_"), "-", "_"), "&amp;", "_"), "/", "_"), "#", "_"))</f>
        <v>SE_UNLOADER_CONVEYOR_N_CELL_EXIST_CHECK</v>
      </c>
      <c r="B127" t="str">
        <f>IF(ISBLANK(Sheet1!A127)=TRUE,"",IF(EXACT(Sheet1!W126,Sheet1!W127)=TRUE,"",$Z$1&amp;CHAR(13)&amp;$AA$1&amp;Sheet1!W127&amp;CHAR(13)&amp;$Z$1&amp;CHAR(13))&amp;$W$1&amp;CHAR(13)&amp;$V$1&amp;Sheet1!E127&amp;CHAR(13)&amp;$X$1&amp;CHAR(13)&amp;$A127&amp;" = "&amp;Sheet1!A127&amp;",")</f>
        <v>/// &lt;summary&gt;_x000D_/// OUT컨베이어 센서에 셀을 감지했습니다._x000D_/// &lt;/summary&gt;_x000D_SE_UNLOADER_CONVEYOR_N_CELL_EXIST_CHECK = 13503,</v>
      </c>
    </row>
    <row r="128" spans="1:2" x14ac:dyDescent="0.3">
      <c r="A128" t="str">
        <f>IF(ISBLANK(Sheet1!C128),"",SUBSTITUTE(SUBSTITUTE(SUBSTITUTE(SUBSTITUTE(SUBSTITUTE(Sheet1!C128, " ", "_"), "-", "_"), "&amp;", "_"), "/", "_"), "#", "_"))</f>
        <v>SE_UNLOADER_CONVEYOR_N_OUTPUT_BLOCKED_CHECK</v>
      </c>
      <c r="B128" t="str">
        <f>IF(ISBLANK(Sheet1!A128)=TRUE,"",IF(EXACT(Sheet1!W127,Sheet1!W128)=TRUE,"",$Z$1&amp;CHAR(13)&amp;$AA$1&amp;Sheet1!W128&amp;CHAR(13)&amp;$Z$1&amp;CHAR(13))&amp;$W$1&amp;CHAR(13)&amp;$V$1&amp;Sheet1!E128&amp;CHAR(13)&amp;$X$1&amp;CHAR(13)&amp;$A128&amp;" = "&amp;Sheet1!A128&amp;",")</f>
        <v>/// &lt;summary&gt;_x000D_/// OUT컨베이어 배출 센서에 자재 쌓임을 감지했습니다._x000D_/// &lt;/summary&gt;_x000D_SE_UNLOADER_CONVEYOR_N_OUTPUT_BLOCKED_CHECK = 13504,</v>
      </c>
    </row>
    <row r="129" spans="1:2" x14ac:dyDescent="0.3">
      <c r="A129" t="str">
        <f>IF(ISBLANK(Sheet1!C129),"",SUBSTITUTE(SUBSTITUTE(SUBSTITUTE(SUBSTITUTE(SUBSTITUTE(Sheet1!C129, " ", "_"), "-", "_"), "&amp;", "_"), "/", "_"), "#", "_"))</f>
        <v>SE_UNLOADER_CONVEYOR_P1_CELL_NOT_EXIST_CHECK</v>
      </c>
      <c r="B129" t="str">
        <f>IF(ISBLANK(Sheet1!A129)=TRUE,"",IF(EXACT(Sheet1!W128,Sheet1!W129)=TRUE,"",$Z$1&amp;CHAR(13)&amp;$AA$1&amp;Sheet1!W129&amp;CHAR(13)&amp;$Z$1&amp;CHAR(13))&amp;$W$1&amp;CHAR(13)&amp;$V$1&amp;Sheet1!E129&amp;CHAR(13)&amp;$X$1&amp;CHAR(13)&amp;$A129&amp;" = "&amp;Sheet1!A129&amp;",")</f>
        <v>/// &lt;summary&gt;_x000D_/// OUT컨베이어 P1 센서에 셀이 감지되지 않았습니다._x000D_/// &lt;/summary&gt;_x000D_SE_UNLOADER_CONVEYOR_P1_CELL_NOT_EXIST_CHECK = 13505,</v>
      </c>
    </row>
    <row r="130" spans="1:2" x14ac:dyDescent="0.3">
      <c r="A130" t="str">
        <f>IF(ISBLANK(Sheet1!C130),"",SUBSTITUTE(SUBSTITUTE(SUBSTITUTE(SUBSTITUTE(SUBSTITUTE(Sheet1!C130, " ", "_"), "-", "_"), "&amp;", "_"), "/", "_"), "#", "_"))</f>
        <v>SE_UNLOADER_CONVEYOR_P2_CELL_NOT_EXIST_CHECK</v>
      </c>
      <c r="B130" t="str">
        <f>IF(ISBLANK(Sheet1!A130)=TRUE,"",IF(EXACT(Sheet1!W129,Sheet1!W130)=TRUE,"",$Z$1&amp;CHAR(13)&amp;$AA$1&amp;Sheet1!W130&amp;CHAR(13)&amp;$Z$1&amp;CHAR(13))&amp;$W$1&amp;CHAR(13)&amp;$V$1&amp;Sheet1!E130&amp;CHAR(13)&amp;$X$1&amp;CHAR(13)&amp;$A130&amp;" = "&amp;Sheet1!A130&amp;",")</f>
        <v>/// &lt;summary&gt;_x000D_/// OUT컨베이어 P2 센서에 셀이 감지되지 않았습니다._x000D_/// &lt;/summary&gt;_x000D_SE_UNLOADER_CONVEYOR_P2_CELL_NOT_EXIST_CHECK = 13506,</v>
      </c>
    </row>
    <row r="131" spans="1:2" x14ac:dyDescent="0.3">
      <c r="A131" t="str">
        <f>IF(ISBLANK(Sheet1!C131),"",SUBSTITUTE(SUBSTITUTE(SUBSTITUTE(SUBSTITUTE(SUBSTITUTE(Sheet1!C131, " ", "_"), "-", "_"), "&amp;", "_"), "/", "_"), "#", "_"))</f>
        <v>SE_UNLOADER_CONVEYOR_ALL_CELL_NOT_EXIST_CHECK</v>
      </c>
      <c r="B131" t="str">
        <f>IF(ISBLANK(Sheet1!A131)=TRUE,"",IF(EXACT(Sheet1!W130,Sheet1!W131)=TRUE,"",$Z$1&amp;CHAR(13)&amp;$AA$1&amp;Sheet1!W131&amp;CHAR(13)&amp;$Z$1&amp;CHAR(13))&amp;$W$1&amp;CHAR(13)&amp;$V$1&amp;Sheet1!E131&amp;CHAR(13)&amp;$X$1&amp;CHAR(13)&amp;$A131&amp;" = "&amp;Sheet1!A131&amp;",")</f>
        <v>/// &lt;summary&gt;_x000D_/// OUT컨베이어 P1 P2 센서에 셀이 감지되지 않았습니다._x000D_/// &lt;/summary&gt;_x000D_SE_UNLOADER_CONVEYOR_ALL_CELL_NOT_EXIST_CHECK = 13507,</v>
      </c>
    </row>
    <row r="132" spans="1:2" x14ac:dyDescent="0.3">
      <c r="A132" t="str">
        <f>IF(ISBLANK(Sheet1!C132),"",SUBSTITUTE(SUBSTITUTE(SUBSTITUTE(SUBSTITUTE(SUBSTITUTE(Sheet1!C132, " ", "_"), "-", "_"), "&amp;", "_"), "/", "_"), "#", "_"))</f>
        <v>EM_LOWER_EQUIPMENT_N_EMERGENCY_STATE</v>
      </c>
      <c r="B132" t="str">
        <f>IF(ISBLANK(Sheet1!A132)=TRUE,"",IF(EXACT(Sheet1!W131,Sheet1!W132)=TRUE,"",$Z$1&amp;CHAR(13)&amp;$AA$1&amp;Sheet1!W132&amp;CHAR(13)&amp;$Z$1&amp;CHAR(13))&amp;$W$1&amp;CHAR(13)&amp;$V$1&amp;Sheet1!E132&amp;CHAR(13)&amp;$X$1&amp;CHAR(13)&amp;$A132&amp;" = "&amp;Sheet1!A132&amp;",")</f>
        <v>//////////////////////////////////////////////////////////////////////////_x000D_// UNLOAD_EQ_TO_EQ_x000D_//////////////////////////////////////////////////////////////////////////_x000D_/// &lt;summary&gt;_x000D_/// 하류설비에서 EMERGENCY가 발생했습니다_x000D_/// &lt;/summary&gt;_x000D_EM_LOWER_EQUIPMENT_N_EMERGENCY_STATE = 14000,</v>
      </c>
    </row>
    <row r="133" spans="1:2" x14ac:dyDescent="0.3">
      <c r="A133" t="str">
        <f>IF(ISBLANK(Sheet1!C133),"",SUBSTITUTE(SUBSTITUTE(SUBSTITUTE(SUBSTITUTE(SUBSTITUTE(Sheet1!C133, " ", "_"), "-", "_"), "&amp;", "_"), "/", "_"), "#", "_"))</f>
        <v>EM_LOWER_EQUIPMENT_DOOR_OPEN</v>
      </c>
      <c r="B133" t="str">
        <f>IF(ISBLANK(Sheet1!A133)=TRUE,"",IF(EXACT(Sheet1!W132,Sheet1!W133)=TRUE,"",$Z$1&amp;CHAR(13)&amp;$AA$1&amp;Sheet1!W133&amp;CHAR(13)&amp;$Z$1&amp;CHAR(13))&amp;$W$1&amp;CHAR(13)&amp;$V$1&amp;Sheet1!E133&amp;CHAR(13)&amp;$X$1&amp;CHAR(13)&amp;$A133&amp;" = "&amp;Sheet1!A133&amp;",")</f>
        <v>/// &lt;summary&gt;_x000D_/// 하류설비에 DOOR가 열렸습니다_x000D_/// &lt;/summary&gt;_x000D_EM_LOWER_EQUIPMENT_DOOR_OPEN = 14001,</v>
      </c>
    </row>
    <row r="134" spans="1:2" x14ac:dyDescent="0.3">
      <c r="A134" t="str">
        <f>IF(ISBLANK(Sheet1!C134),"",SUBSTITUTE(SUBSTITUTE(SUBSTITUTE(SUBSTITUTE(SUBSTITUTE(Sheet1!C134, " ", "_"), "-", "_"), "&amp;", "_"), "/", "_"), "#", "_"))</f>
        <v>VI_LOADER_MCR_P1_GRAB_TIMEOUT</v>
      </c>
      <c r="B134" t="str">
        <f>IF(ISBLANK(Sheet1!A134)=TRUE,"",IF(EXACT(Sheet1!W133,Sheet1!W134)=TRUE,"",$Z$1&amp;CHAR(13)&amp;$AA$1&amp;Sheet1!W134&amp;CHAR(13)&amp;$Z$1&amp;CHAR(13))&amp;$W$1&amp;CHAR(13)&amp;$V$1&amp;Sheet1!E134&amp;CHAR(13)&amp;$X$1&amp;CHAR(13)&amp;$A134&amp;" = "&amp;Sheet1!A134&amp;",")</f>
        <v>//////////////////////////////////////////////////////////////////////////_x000D_// MCR_x000D_//////////////////////////////////////////////////////////////////////////_x000D_/// &lt;summary&gt;_x000D_/// MCR P1 촬상에 실패 했습니다_x000D_/// &lt;/summary&gt;_x000D_VI_LOADER_MCR_P1_GRAB_TIMEOUT = 20000,</v>
      </c>
    </row>
    <row r="135" spans="1:2" x14ac:dyDescent="0.3">
      <c r="A135" t="str">
        <f>IF(ISBLANK(Sheet1!C135),"",SUBSTITUTE(SUBSTITUTE(SUBSTITUTE(SUBSTITUTE(SUBSTITUTE(Sheet1!C135, " ", "_"), "-", "_"), "&amp;", "_"), "/", "_"), "#", "_"))</f>
        <v>VI_LOADER_MCR_P1_RESULT_TIMEOUT</v>
      </c>
      <c r="B135" t="str">
        <f>IF(ISBLANK(Sheet1!A135)=TRUE,"",IF(EXACT(Sheet1!W134,Sheet1!W135)=TRUE,"",$Z$1&amp;CHAR(13)&amp;$AA$1&amp;Sheet1!W135&amp;CHAR(13)&amp;$Z$1&amp;CHAR(13))&amp;$W$1&amp;CHAR(13)&amp;$V$1&amp;Sheet1!E135&amp;CHAR(13)&amp;$X$1&amp;CHAR(13)&amp;$A135&amp;" = "&amp;Sheet1!A135&amp;",")</f>
        <v>/// &lt;summary&gt;_x000D_/// MCR P1 결과 대기 시간을 초과 했습니다_x000D_/// &lt;/summary&gt;_x000D_VI_LOADER_MCR_P1_RESULT_TIMEOUT = 20001,</v>
      </c>
    </row>
    <row r="136" spans="1:2" x14ac:dyDescent="0.3">
      <c r="A136" t="str">
        <f>IF(ISBLANK(Sheet1!C136),"",SUBSTITUTE(SUBSTITUTE(SUBSTITUTE(SUBSTITUTE(SUBSTITUTE(Sheet1!C136, " ", "_"), "-", "_"), "&amp;", "_"), "/", "_"), "#", "_"))</f>
        <v>VI_LOADER_MCR_P1_CONTINUOUS_FAILURE</v>
      </c>
      <c r="B136" t="str">
        <f>IF(ISBLANK(Sheet1!A136)=TRUE,"",IF(EXACT(Sheet1!W135,Sheet1!W136)=TRUE,"",$Z$1&amp;CHAR(13)&amp;$AA$1&amp;Sheet1!W136&amp;CHAR(13)&amp;$Z$1&amp;CHAR(13))&amp;$W$1&amp;CHAR(13)&amp;$V$1&amp;Sheet1!E136&amp;CHAR(13)&amp;$X$1&amp;CHAR(13)&amp;$A136&amp;" = "&amp;Sheet1!A136&amp;",")</f>
        <v>/// &lt;summary&gt;_x000D_/// MCR P1 촬상을 연속으로 실패 했습니다_x000D_/// &lt;/summary&gt;_x000D_VI_LOADER_MCR_P1_CONTINUOUS_FAILURE = 20002,</v>
      </c>
    </row>
    <row r="137" spans="1:2" x14ac:dyDescent="0.3">
      <c r="A137" t="str">
        <f>IF(ISBLANK(Sheet1!C137),"",SUBSTITUTE(SUBSTITUTE(SUBSTITUTE(SUBSTITUTE(SUBSTITUTE(Sheet1!C137, " ", "_"), "-", "_"), "&amp;", "_"), "/", "_"), "#", "_"))</f>
        <v>VI_LOADER_MCR_P2_GRAB_TIMEOUT</v>
      </c>
      <c r="B137" t="str">
        <f>IF(ISBLANK(Sheet1!A137)=TRUE,"",IF(EXACT(Sheet1!W136,Sheet1!W137)=TRUE,"",$Z$1&amp;CHAR(13)&amp;$AA$1&amp;Sheet1!W137&amp;CHAR(13)&amp;$Z$1&amp;CHAR(13))&amp;$W$1&amp;CHAR(13)&amp;$V$1&amp;Sheet1!E137&amp;CHAR(13)&amp;$X$1&amp;CHAR(13)&amp;$A137&amp;" = "&amp;Sheet1!A137&amp;",")</f>
        <v>/// &lt;summary&gt;_x000D_/// MCR P2 촬상에 실패 했습니다_x000D_/// &lt;/summary&gt;_x000D_VI_LOADER_MCR_P2_GRAB_TIMEOUT = 20010,</v>
      </c>
    </row>
    <row r="138" spans="1:2" x14ac:dyDescent="0.3">
      <c r="A138" t="str">
        <f>IF(ISBLANK(Sheet1!C138),"",SUBSTITUTE(SUBSTITUTE(SUBSTITUTE(SUBSTITUTE(SUBSTITUTE(Sheet1!C138, " ", "_"), "-", "_"), "&amp;", "_"), "/", "_"), "#", "_"))</f>
        <v>VI_LOADER_MCR_P2_RESULT_TIMEOUT</v>
      </c>
      <c r="B138" t="str">
        <f>IF(ISBLANK(Sheet1!A138)=TRUE,"",IF(EXACT(Sheet1!W137,Sheet1!W138)=TRUE,"",$Z$1&amp;CHAR(13)&amp;$AA$1&amp;Sheet1!W138&amp;CHAR(13)&amp;$Z$1&amp;CHAR(13))&amp;$W$1&amp;CHAR(13)&amp;$V$1&amp;Sheet1!E138&amp;CHAR(13)&amp;$X$1&amp;CHAR(13)&amp;$A138&amp;" = "&amp;Sheet1!A138&amp;",")</f>
        <v>/// &lt;summary&gt;_x000D_/// MCR P2 결과 대기 시간을 초과 했습니다_x000D_/// &lt;/summary&gt;_x000D_VI_LOADER_MCR_P2_RESULT_TIMEOUT = 20011,</v>
      </c>
    </row>
    <row r="139" spans="1:2" x14ac:dyDescent="0.3">
      <c r="A139" t="str">
        <f>IF(ISBLANK(Sheet1!C139),"",SUBSTITUTE(SUBSTITUTE(SUBSTITUTE(SUBSTITUTE(SUBSTITUTE(Sheet1!C139, " ", "_"), "-", "_"), "&amp;", "_"), "/", "_"), "#", "_"))</f>
        <v>VI_LOADER_MCR_P2_CONTINUOUS_FAILURE</v>
      </c>
      <c r="B139" t="str">
        <f>IF(ISBLANK(Sheet1!A139)=TRUE,"",IF(EXACT(Sheet1!W138,Sheet1!W139)=TRUE,"",$Z$1&amp;CHAR(13)&amp;$AA$1&amp;Sheet1!W139&amp;CHAR(13)&amp;$Z$1&amp;CHAR(13))&amp;$W$1&amp;CHAR(13)&amp;$V$1&amp;Sheet1!E139&amp;CHAR(13)&amp;$X$1&amp;CHAR(13)&amp;$A139&amp;" = "&amp;Sheet1!A139&amp;",")</f>
        <v>/// &lt;summary&gt;_x000D_/// MCR P2 촬상을 연속으로 실패 했습니다_x000D_/// &lt;/summary&gt;_x000D_VI_LOADER_MCR_P2_CONTINUOUS_FAILURE = 20012,</v>
      </c>
    </row>
    <row r="140" spans="1:2" x14ac:dyDescent="0.3">
      <c r="A140" t="str">
        <f>IF(ISBLANK(Sheet1!C140),"",SUBSTITUTE(SUBSTITUTE(SUBSTITUTE(SUBSTITUTE(SUBSTITUTE(Sheet1!C140, " ", "_"), "-", "_"), "&amp;", "_"), "/", "_"), "#", "_"))</f>
        <v>CO_PRE_ALIGN_N_DISCONNECTED</v>
      </c>
      <c r="B140" t="str">
        <f>IF(ISBLANK(Sheet1!A140)=TRUE,"",IF(EXACT(Sheet1!W139,Sheet1!W140)=TRUE,"",$Z$1&amp;CHAR(13)&amp;$AA$1&amp;Sheet1!W140&amp;CHAR(13)&amp;$Z$1&amp;CHAR(13))&amp;$W$1&amp;CHAR(13)&amp;$V$1&amp;Sheet1!E140&amp;CHAR(13)&amp;$X$1&amp;CHAR(13)&amp;$A140&amp;" = "&amp;Sheet1!A140&amp;",")</f>
        <v>//////////////////////////////////////////////////////////////////////////_x000D_// PRE_ALIGN_VISION_x000D_//////////////////////////////////////////////////////////////////////////_x000D_/// &lt;summary&gt;_x000D_/// 프리얼라인 Program 통신 연결이 끊어 졌습니다_x000D_/// &lt;/summary&gt;_x000D_CO_PRE_ALIGN_N_DISCONNECTED = 20500,</v>
      </c>
    </row>
    <row r="141" spans="1:2" x14ac:dyDescent="0.3">
      <c r="A141" t="str">
        <f>IF(ISBLANK(Sheet1!C141),"",SUBSTITUTE(SUBSTITUTE(SUBSTITUTE(SUBSTITUTE(SUBSTITUTE(Sheet1!C141, " ", "_"), "-", "_"), "&amp;", "_"), "/", "_"), "#", "_"))</f>
        <v>VI_PRE_ALIGN_N_RECEIVE_ALIGN_ERROR</v>
      </c>
      <c r="B141" t="str">
        <f>IF(ISBLANK(Sheet1!A141)=TRUE,"",IF(EXACT(Sheet1!W140,Sheet1!W141)=TRUE,"",$Z$1&amp;CHAR(13)&amp;$AA$1&amp;Sheet1!W141&amp;CHAR(13)&amp;$Z$1&amp;CHAR(13))&amp;$W$1&amp;CHAR(13)&amp;$V$1&amp;Sheet1!E141&amp;CHAR(13)&amp;$X$1&amp;CHAR(13)&amp;$A141&amp;" = "&amp;Sheet1!A141&amp;",")</f>
        <v>/// &lt;summary&gt;_x000D_/// 프리얼라인 Program에 에러가 발생했습니다_x000D_/// &lt;/summary&gt;_x000D_VI_PRE_ALIGN_N_RECEIVE_ALIGN_ERROR = 20501,</v>
      </c>
    </row>
    <row r="142" spans="1:2" x14ac:dyDescent="0.3">
      <c r="A142" t="str">
        <f>IF(ISBLANK(Sheet1!C142),"",SUBSTITUTE(SUBSTITUTE(SUBSTITUTE(SUBSTITUTE(SUBSTITUTE(Sheet1!C142, " ", "_"), "-", "_"), "&amp;", "_"), "/", "_"), "#", "_"))</f>
        <v>VI_PRE_ALIGN_N_MODEL_LIST_TIMEOUT</v>
      </c>
      <c r="B142" t="str">
        <f>IF(ISBLANK(Sheet1!A142)=TRUE,"",IF(EXACT(Sheet1!W141,Sheet1!W142)=TRUE,"",$Z$1&amp;CHAR(13)&amp;$AA$1&amp;Sheet1!W142&amp;CHAR(13)&amp;$Z$1&amp;CHAR(13))&amp;$W$1&amp;CHAR(13)&amp;$V$1&amp;Sheet1!E142&amp;CHAR(13)&amp;$X$1&amp;CHAR(13)&amp;$A142&amp;" = "&amp;Sheet1!A142&amp;",")</f>
        <v>/// &lt;summary&gt;_x000D_/// 프리얼라인 Program 모델 리스트 요청 응답 대기 시간을 초과 했습니다_x000D_/// &lt;/summary&gt;_x000D_VI_PRE_ALIGN_N_MODEL_LIST_TIMEOUT = 20502,</v>
      </c>
    </row>
    <row r="143" spans="1:2" x14ac:dyDescent="0.3">
      <c r="A143" t="str">
        <f>IF(ISBLANK(Sheet1!C143),"",SUBSTITUTE(SUBSTITUTE(SUBSTITUTE(SUBSTITUTE(SUBSTITUTE(Sheet1!C143, " ", "_"), "-", "_"), "&amp;", "_"), "/", "_"), "#", "_"))</f>
        <v>VI_PRE_ALIGN_N_MODEL_NOT_FOUND</v>
      </c>
      <c r="B143" t="str">
        <f>IF(ISBLANK(Sheet1!A143)=TRUE,"",IF(EXACT(Sheet1!W142,Sheet1!W143)=TRUE,"",$Z$1&amp;CHAR(13)&amp;$AA$1&amp;Sheet1!W143&amp;CHAR(13)&amp;$Z$1&amp;CHAR(13))&amp;$W$1&amp;CHAR(13)&amp;$V$1&amp;Sheet1!E143&amp;CHAR(13)&amp;$X$1&amp;CHAR(13)&amp;$A143&amp;" = "&amp;Sheet1!A143&amp;",")</f>
        <v>/// &lt;summary&gt;_x000D_/// 프리얼라인 Program에 현재 모델 정보가 등록되어 있지 않습니다_x000D_/// &lt;/summary&gt;_x000D_VI_PRE_ALIGN_N_MODEL_NOT_FOUND = 20503,</v>
      </c>
    </row>
    <row r="144" spans="1:2" x14ac:dyDescent="0.3">
      <c r="A144" t="str">
        <f>IF(ISBLANK(Sheet1!C144),"",SUBSTITUTE(SUBSTITUTE(SUBSTITUTE(SUBSTITUTE(SUBSTITUTE(Sheet1!C144, " ", "_"), "-", "_"), "&amp;", "_"), "/", "_"), "#", "_"))</f>
        <v>VI_PRE_ALIGN_START_TIMEOUT</v>
      </c>
      <c r="B144" t="str">
        <f>IF(ISBLANK(Sheet1!A144)=TRUE,"",IF(EXACT(Sheet1!W143,Sheet1!W144)=TRUE,"",$Z$1&amp;CHAR(13)&amp;$AA$1&amp;Sheet1!W144&amp;CHAR(13)&amp;$Z$1&amp;CHAR(13))&amp;$W$1&amp;CHAR(13)&amp;$V$1&amp;Sheet1!E144&amp;CHAR(13)&amp;$X$1&amp;CHAR(13)&amp;$A144&amp;" = "&amp;Sheet1!A144&amp;",")</f>
        <v>/// &lt;summary&gt;_x000D_/// 프리얼라인 촬상 시작 응답 대기 시간을 초과 했습니다_x000D_/// &lt;/summary&gt;_x000D_VI_PRE_ALIGN_START_TIMEOUT = 20504,</v>
      </c>
    </row>
    <row r="145" spans="1:2" x14ac:dyDescent="0.3">
      <c r="A145" t="str">
        <f>IF(ISBLANK(Sheet1!C145),"",SUBSTITUTE(SUBSTITUTE(SUBSTITUTE(SUBSTITUTE(SUBSTITUTE(Sheet1!C145, " ", "_"), "-", "_"), "&amp;", "_"), "/", "_"), "#", "_"))</f>
        <v>VI_PRE_ALIGN_COMPLETE_TIMEOUT</v>
      </c>
      <c r="B145" t="str">
        <f>IF(ISBLANK(Sheet1!A145)=TRUE,"",IF(EXACT(Sheet1!W144,Sheet1!W145)=TRUE,"",$Z$1&amp;CHAR(13)&amp;$AA$1&amp;Sheet1!W145&amp;CHAR(13)&amp;$Z$1&amp;CHAR(13))&amp;$W$1&amp;CHAR(13)&amp;$V$1&amp;Sheet1!E145&amp;CHAR(13)&amp;$X$1&amp;CHAR(13)&amp;$A145&amp;" = "&amp;Sheet1!A145&amp;",")</f>
        <v>/// &lt;summary&gt;_x000D_/// 프리얼라인 촬상 완료 대기 시간을 초과 했습니다_x000D_/// &lt;/summary&gt;_x000D_VI_PRE_ALIGN_COMPLETE_TIMEOUT = 20505,</v>
      </c>
    </row>
    <row r="146" spans="1:2" x14ac:dyDescent="0.3">
      <c r="A146" t="str">
        <f>IF(ISBLANK(Sheet1!C146),"",SUBSTITUTE(SUBSTITUTE(SUBSTITUTE(SUBSTITUTE(SUBSTITUTE(Sheet1!C146, " ", "_"), "-", "_"), "&amp;", "_"), "/", "_"), "#", "_"))</f>
        <v>CO_PRE_ALIGN_COMPLETE_VALIDATION_FAIL</v>
      </c>
      <c r="B146" t="str">
        <f>IF(ISBLANK(Sheet1!A146)=TRUE,"",IF(EXACT(Sheet1!W145,Sheet1!W146)=TRUE,"",$Z$1&amp;CHAR(13)&amp;$AA$1&amp;Sheet1!W146&amp;CHAR(13)&amp;$Z$1&amp;CHAR(13))&amp;$W$1&amp;CHAR(13)&amp;$V$1&amp;Sheet1!E146&amp;CHAR(13)&amp;$X$1&amp;CHAR(13)&amp;$A146&amp;" = "&amp;Sheet1!A146&amp;",")</f>
        <v>/// &lt;summary&gt;_x000D_/// 프리얼라인 촬상 완료 데이터 정합성이 맞지 않습니다_x000D_/// &lt;/summary&gt;_x000D_CO_PRE_ALIGN_COMPLETE_VALIDATION_FAIL = 20506,</v>
      </c>
    </row>
    <row r="147" spans="1:2" x14ac:dyDescent="0.3">
      <c r="A147" t="str">
        <f>IF(ISBLANK(Sheet1!C147),"",SUBSTITUTE(SUBSTITUTE(SUBSTITUTE(SUBSTITUTE(SUBSTITUTE(Sheet1!C147, " ", "_"), "-", "_"), "&amp;", "_"), "/", "_"), "#", "_"))</f>
        <v>VI_PRE_ALIGN_P1_OVERRANGE_X</v>
      </c>
      <c r="B147" t="str">
        <f>IF(ISBLANK(Sheet1!A147)=TRUE,"",IF(EXACT(Sheet1!W146,Sheet1!W147)=TRUE,"",$Z$1&amp;CHAR(13)&amp;$AA$1&amp;Sheet1!W147&amp;CHAR(13)&amp;$Z$1&amp;CHAR(13))&amp;$W$1&amp;CHAR(13)&amp;$V$1&amp;Sheet1!E147&amp;CHAR(13)&amp;$X$1&amp;CHAR(13)&amp;$A147&amp;" = "&amp;Sheet1!A147&amp;",")</f>
        <v>/// &lt;summary&gt;_x000D_/// 프리얼라인 P1 X 총 보정량이 인터락 범위를 초과 했습니다_x000D_/// &lt;/summary&gt;_x000D_VI_PRE_ALIGN_P1_OVERRANGE_X = 20507,</v>
      </c>
    </row>
    <row r="148" spans="1:2" x14ac:dyDescent="0.3">
      <c r="A148" t="str">
        <f>IF(ISBLANK(Sheet1!C148),"",SUBSTITUTE(SUBSTITUTE(SUBSTITUTE(SUBSTITUTE(SUBSTITUTE(Sheet1!C148, " ", "_"), "-", "_"), "&amp;", "_"), "/", "_"), "#", "_"))</f>
        <v>VI_PRE_ALIGN_P1_OVERRANGE_Y</v>
      </c>
      <c r="B148" t="str">
        <f>IF(ISBLANK(Sheet1!A148)=TRUE,"",IF(EXACT(Sheet1!W147,Sheet1!W148)=TRUE,"",$Z$1&amp;CHAR(13)&amp;$AA$1&amp;Sheet1!W148&amp;CHAR(13)&amp;$Z$1&amp;CHAR(13))&amp;$W$1&amp;CHAR(13)&amp;$V$1&amp;Sheet1!E148&amp;CHAR(13)&amp;$X$1&amp;CHAR(13)&amp;$A148&amp;" = "&amp;Sheet1!A148&amp;",")</f>
        <v>/// &lt;summary&gt;_x000D_/// 프리얼라인 P1 Y 총 보정량이 인터락 범위를 초과 했습니다_x000D_/// &lt;/summary&gt;_x000D_VI_PRE_ALIGN_P1_OVERRANGE_Y = 20508,</v>
      </c>
    </row>
    <row r="149" spans="1:2" x14ac:dyDescent="0.3">
      <c r="A149" t="str">
        <f>IF(ISBLANK(Sheet1!C149),"",SUBSTITUTE(SUBSTITUTE(SUBSTITUTE(SUBSTITUTE(SUBSTITUTE(Sheet1!C149, " ", "_"), "-", "_"), "&amp;", "_"), "/", "_"), "#", "_"))</f>
        <v>VI_PRE_ALIGN_P1_OVERRANGE_T</v>
      </c>
      <c r="B149" t="str">
        <f>IF(ISBLANK(Sheet1!A149)=TRUE,"",IF(EXACT(Sheet1!W148,Sheet1!W149)=TRUE,"",$Z$1&amp;CHAR(13)&amp;$AA$1&amp;Sheet1!W149&amp;CHAR(13)&amp;$Z$1&amp;CHAR(13))&amp;$W$1&amp;CHAR(13)&amp;$V$1&amp;Sheet1!E149&amp;CHAR(13)&amp;$X$1&amp;CHAR(13)&amp;$A149&amp;" = "&amp;Sheet1!A149&amp;",")</f>
        <v>/// &lt;summary&gt;_x000D_/// 프리얼라인 P1 T 총 보정량이 인터락 범위를 초과 했습니다_x000D_/// &lt;/summary&gt;_x000D_VI_PRE_ALIGN_P1_OVERRANGE_T = 20509,</v>
      </c>
    </row>
    <row r="150" spans="1:2" x14ac:dyDescent="0.3">
      <c r="A150" t="str">
        <f>IF(ISBLANK(Sheet1!C150),"",SUBSTITUTE(SUBSTITUTE(SUBSTITUTE(SUBSTITUTE(SUBSTITUTE(Sheet1!C150, " ", "_"), "-", "_"), "&amp;", "_"), "/", "_"), "#", "_"))</f>
        <v>VI_PRE_ALIGN_P1_OVERRANGE_SCORE</v>
      </c>
      <c r="B150" t="str">
        <f>IF(ISBLANK(Sheet1!A150)=TRUE,"",IF(EXACT(Sheet1!W149,Sheet1!W150)=TRUE,"",$Z$1&amp;CHAR(13)&amp;$AA$1&amp;Sheet1!W150&amp;CHAR(13)&amp;$Z$1&amp;CHAR(13))&amp;$W$1&amp;CHAR(13)&amp;$V$1&amp;Sheet1!E150&amp;CHAR(13)&amp;$X$1&amp;CHAR(13)&amp;$A150&amp;" = "&amp;Sheet1!A150&amp;",")</f>
        <v>/// &lt;summary&gt;_x000D_/// 프리얼라인 P1 카메라 그랩 스코어가 설정값 보다 낮습니다_x000D_/// &lt;/summary&gt;_x000D_VI_PRE_ALIGN_P1_OVERRANGE_SCORE = 20510,</v>
      </c>
    </row>
    <row r="151" spans="1:2" x14ac:dyDescent="0.3">
      <c r="A151" t="str">
        <f>IF(ISBLANK(Sheet1!C151),"",SUBSTITUTE(SUBSTITUTE(SUBSTITUTE(SUBSTITUTE(SUBSTITUTE(Sheet1!C151, " ", "_"), "-", "_"), "&amp;", "_"), "/", "_"), "#", "_"))</f>
        <v>VI_PRE_ALIGN_P2_OVERRANGE_X</v>
      </c>
      <c r="B151" t="str">
        <f>IF(ISBLANK(Sheet1!A151)=TRUE,"",IF(EXACT(Sheet1!W150,Sheet1!W151)=TRUE,"",$Z$1&amp;CHAR(13)&amp;$AA$1&amp;Sheet1!W151&amp;CHAR(13)&amp;$Z$1&amp;CHAR(13))&amp;$W$1&amp;CHAR(13)&amp;$V$1&amp;Sheet1!E151&amp;CHAR(13)&amp;$X$1&amp;CHAR(13)&amp;$A151&amp;" = "&amp;Sheet1!A151&amp;",")</f>
        <v>/// &lt;summary&gt;_x000D_/// 프리얼라인 P2 X 총 보정량이 인터락 범위를 초과 했습니다_x000D_/// &lt;/summary&gt;_x000D_VI_PRE_ALIGN_P2_OVERRANGE_X = 20511,</v>
      </c>
    </row>
    <row r="152" spans="1:2" x14ac:dyDescent="0.3">
      <c r="A152" t="str">
        <f>IF(ISBLANK(Sheet1!C152),"",SUBSTITUTE(SUBSTITUTE(SUBSTITUTE(SUBSTITUTE(SUBSTITUTE(Sheet1!C152, " ", "_"), "-", "_"), "&amp;", "_"), "/", "_"), "#", "_"))</f>
        <v>VI_PRE_ALIGN_P2_OVERRANGE_Y</v>
      </c>
      <c r="B152" t="str">
        <f>IF(ISBLANK(Sheet1!A152)=TRUE,"",IF(EXACT(Sheet1!W151,Sheet1!W152)=TRUE,"",$Z$1&amp;CHAR(13)&amp;$AA$1&amp;Sheet1!W152&amp;CHAR(13)&amp;$Z$1&amp;CHAR(13))&amp;$W$1&amp;CHAR(13)&amp;$V$1&amp;Sheet1!E152&amp;CHAR(13)&amp;$X$1&amp;CHAR(13)&amp;$A152&amp;" = "&amp;Sheet1!A152&amp;",")</f>
        <v>/// &lt;summary&gt;_x000D_/// 프리얼라인 P2 Y 총 보정량이 인터락 범위를 초과 했습니다_x000D_/// &lt;/summary&gt;_x000D_VI_PRE_ALIGN_P2_OVERRANGE_Y = 20512,</v>
      </c>
    </row>
    <row r="153" spans="1:2" x14ac:dyDescent="0.3">
      <c r="A153" t="str">
        <f>IF(ISBLANK(Sheet1!C153),"",SUBSTITUTE(SUBSTITUTE(SUBSTITUTE(SUBSTITUTE(SUBSTITUTE(Sheet1!C153, " ", "_"), "-", "_"), "&amp;", "_"), "/", "_"), "#", "_"))</f>
        <v>VI_PRE_ALIGN_P2_OVERRANGE_T</v>
      </c>
      <c r="B153" t="str">
        <f>IF(ISBLANK(Sheet1!A153)=TRUE,"",IF(EXACT(Sheet1!W152,Sheet1!W153)=TRUE,"",$Z$1&amp;CHAR(13)&amp;$AA$1&amp;Sheet1!W153&amp;CHAR(13)&amp;$Z$1&amp;CHAR(13))&amp;$W$1&amp;CHAR(13)&amp;$V$1&amp;Sheet1!E153&amp;CHAR(13)&amp;$X$1&amp;CHAR(13)&amp;$A153&amp;" = "&amp;Sheet1!A153&amp;",")</f>
        <v>/// &lt;summary&gt;_x000D_/// 프리얼라인 P2 T 총 보정량이 인터락 범위를 초과 했습니다_x000D_/// &lt;/summary&gt;_x000D_VI_PRE_ALIGN_P2_OVERRANGE_T = 20513,</v>
      </c>
    </row>
    <row r="154" spans="1:2" x14ac:dyDescent="0.3">
      <c r="A154" t="str">
        <f>IF(ISBLANK(Sheet1!C154),"",SUBSTITUTE(SUBSTITUTE(SUBSTITUTE(SUBSTITUTE(SUBSTITUTE(Sheet1!C154, " ", "_"), "-", "_"), "&amp;", "_"), "/", "_"), "#", "_"))</f>
        <v>VI_PRE_ALIGN_P2_OVERRANGE_SCORE</v>
      </c>
      <c r="B154" t="str">
        <f>IF(ISBLANK(Sheet1!A154)=TRUE,"",IF(EXACT(Sheet1!W153,Sheet1!W154)=TRUE,"",$Z$1&amp;CHAR(13)&amp;$AA$1&amp;Sheet1!W154&amp;CHAR(13)&amp;$Z$1&amp;CHAR(13))&amp;$W$1&amp;CHAR(13)&amp;$V$1&amp;Sheet1!E154&amp;CHAR(13)&amp;$X$1&amp;CHAR(13)&amp;$A154&amp;" = "&amp;Sheet1!A154&amp;",")</f>
        <v>/// &lt;summary&gt;_x000D_/// 프리얼라인 P2 카메라 그랩 스코어가 설정값 보다 낮습니다_x000D_/// &lt;/summary&gt;_x000D_VI_PRE_ALIGN_P2_OVERRANGE_SCORE = 20514,</v>
      </c>
    </row>
    <row r="155" spans="1:2" x14ac:dyDescent="0.3">
      <c r="A155" t="str">
        <f>IF(ISBLANK(Sheet1!C155),"",SUBSTITUTE(SUBSTITUTE(SUBSTITUTE(SUBSTITUTE(SUBSTITUTE(Sheet1!C155, " ", "_"), "-", "_"), "&amp;", "_"), "/", "_"), "#", "_"))</f>
        <v>VI_PRE_ALIGN_RETRY_COUNTOVER</v>
      </c>
      <c r="B155" t="str">
        <f>IF(ISBLANK(Sheet1!A155)=TRUE,"",IF(EXACT(Sheet1!W154,Sheet1!W155)=TRUE,"",$Z$1&amp;CHAR(13)&amp;$AA$1&amp;Sheet1!W155&amp;CHAR(13)&amp;$Z$1&amp;CHAR(13))&amp;$W$1&amp;CHAR(13)&amp;$V$1&amp;Sheet1!E155&amp;CHAR(13)&amp;$X$1&amp;CHAR(13)&amp;$A155&amp;" = "&amp;Sheet1!A155&amp;",")</f>
        <v>/// &lt;summary&gt;_x000D_/// 프리얼라인 카메라 재시도 횟수를 초과 했습니다_x000D_/// &lt;/summary&gt;_x000D_VI_PRE_ALIGN_RETRY_COUNTOVER = 20515,</v>
      </c>
    </row>
    <row r="156" spans="1:2" x14ac:dyDescent="0.3">
      <c r="A156" t="str">
        <f>IF(ISBLANK(Sheet1!C156),"",SUBSTITUTE(SUBSTITUTE(SUBSTITUTE(SUBSTITUTE(SUBSTITUTE(Sheet1!C156, " ", "_"), "-", "_"), "&amp;", "_"), "/", "_"), "#", "_"))</f>
        <v>VI_PRE_ALIGN_ERROR_SYSTEM_NOT_RUNNING</v>
      </c>
      <c r="B156" t="str">
        <f>IF(ISBLANK(Sheet1!A156)=TRUE,"",IF(EXACT(Sheet1!W155,Sheet1!W156)=TRUE,"",$Z$1&amp;CHAR(13)&amp;$AA$1&amp;Sheet1!W156&amp;CHAR(13)&amp;$Z$1&amp;CHAR(13))&amp;$W$1&amp;CHAR(13)&amp;$V$1&amp;Sheet1!E156&amp;CHAR(13)&amp;$X$1&amp;CHAR(13)&amp;$A156&amp;" = "&amp;Sheet1!A156&amp;",")</f>
        <v>/// &lt;summary&gt;_x000D_/// 프리얼라인 시스템이 정지 상태입니다_x000D_/// &lt;/summary&gt;_x000D_VI_PRE_ALIGN_ERROR_SYSTEM_NOT_RUNNING = 20550,</v>
      </c>
    </row>
    <row r="157" spans="1:2" x14ac:dyDescent="0.3">
      <c r="A157" t="str">
        <f>IF(ISBLANK(Sheet1!C157),"",SUBSTITUTE(SUBSTITUTE(SUBSTITUTE(SUBSTITUTE(SUBSTITUTE(Sheet1!C157, " ", "_"), "-", "_"), "&amp;", "_"), "/", "_"), "#", "_"))</f>
        <v>VI_PRE_ALIGN_ERROR_CAMERA</v>
      </c>
      <c r="B157" t="str">
        <f>IF(ISBLANK(Sheet1!A157)=TRUE,"",IF(EXACT(Sheet1!W156,Sheet1!W157)=TRUE,"",$Z$1&amp;CHAR(13)&amp;$AA$1&amp;Sheet1!W157&amp;CHAR(13)&amp;$Z$1&amp;CHAR(13))&amp;$W$1&amp;CHAR(13)&amp;$V$1&amp;Sheet1!E157&amp;CHAR(13)&amp;$X$1&amp;CHAR(13)&amp;$A157&amp;" = "&amp;Sheet1!A157&amp;",")</f>
        <v>/// &lt;summary&gt;_x000D_/// 프리얼라인 카메라에 이상이 발생했습니다_x000D_/// &lt;/summary&gt;_x000D_VI_PRE_ALIGN_ERROR_CAMERA = 20551,</v>
      </c>
    </row>
    <row r="158" spans="1:2" x14ac:dyDescent="0.3">
      <c r="A158" t="str">
        <f>IF(ISBLANK(Sheet1!C158),"",SUBSTITUTE(SUBSTITUTE(SUBSTITUTE(SUBSTITUTE(SUBSTITUTE(Sheet1!C158, " ", "_"), "-", "_"), "&amp;", "_"), "/", "_"), "#", "_"))</f>
        <v>VI_PRE_ALIGN_ERROR_LIGHT_CONTROLLER</v>
      </c>
      <c r="B158" t="str">
        <f>IF(ISBLANK(Sheet1!A158)=TRUE,"",IF(EXACT(Sheet1!W157,Sheet1!W158)=TRUE,"",$Z$1&amp;CHAR(13)&amp;$AA$1&amp;Sheet1!W158&amp;CHAR(13)&amp;$Z$1&amp;CHAR(13))&amp;$W$1&amp;CHAR(13)&amp;$V$1&amp;Sheet1!E158&amp;CHAR(13)&amp;$X$1&amp;CHAR(13)&amp;$A158&amp;" = "&amp;Sheet1!A158&amp;",")</f>
        <v>/// &lt;summary&gt;_x000D_/// 프리얼라인 조명 컨트롤러에 이상이 발생했습니다_x000D_/// &lt;/summary&gt;_x000D_VI_PRE_ALIGN_ERROR_LIGHT_CONTROLLER = 20552,</v>
      </c>
    </row>
    <row r="159" spans="1:2" x14ac:dyDescent="0.3">
      <c r="A159" t="str">
        <f>IF(ISBLANK(Sheet1!C159),"",SUBSTITUTE(SUBSTITUTE(SUBSTITUTE(SUBSTITUTE(SUBSTITUTE(Sheet1!C159, " ", "_"), "-", "_"), "&amp;", "_"), "/", "_"), "#", "_"))</f>
        <v>VI_PRE_ALIGN_ERROR_LIGHT_TEMP_OVER</v>
      </c>
      <c r="B159" t="str">
        <f>IF(ISBLANK(Sheet1!A159)=TRUE,"",IF(EXACT(Sheet1!W158,Sheet1!W159)=TRUE,"",$Z$1&amp;CHAR(13)&amp;$AA$1&amp;Sheet1!W159&amp;CHAR(13)&amp;$Z$1&amp;CHAR(13))&amp;$W$1&amp;CHAR(13)&amp;$V$1&amp;Sheet1!E159&amp;CHAR(13)&amp;$X$1&amp;CHAR(13)&amp;$A159&amp;" = "&amp;Sheet1!A159&amp;",")</f>
        <v>/// &lt;summary&gt;_x000D_/// 프리얼라인 조명이 정상 온도를 벗어났습니다_x000D_/// &lt;/summary&gt;_x000D_VI_PRE_ALIGN_ERROR_LIGHT_TEMP_OVER = 20553,</v>
      </c>
    </row>
    <row r="160" spans="1:2" x14ac:dyDescent="0.3">
      <c r="A160" t="str">
        <f>IF(ISBLANK(Sheet1!C160),"",SUBSTITUTE(SUBSTITUTE(SUBSTITUTE(SUBSTITUTE(SUBSTITUTE(Sheet1!C160, " ", "_"), "-", "_"), "&amp;", "_"), "/", "_"), "#", "_"))</f>
        <v>CO_INSP_PC_MAIN_N_DISCONNECTED</v>
      </c>
      <c r="B160" t="str">
        <f>IF(ISBLANK(Sheet1!A160)=TRUE,"",IF(EXACT(Sheet1!W159,Sheet1!W160)=TRUE,"",$Z$1&amp;CHAR(13)&amp;$AA$1&amp;Sheet1!W160&amp;CHAR(13)&amp;$Z$1&amp;CHAR(13))&amp;$W$1&amp;CHAR(13)&amp;$V$1&amp;Sheet1!E160&amp;CHAR(13)&amp;$X$1&amp;CHAR(13)&amp;$A160&amp;" = "&amp;Sheet1!A160&amp;",")</f>
        <v>//////////////////////////////////////////////////////////////////////////_x000D_// INSPECT_VISION_x000D_//////////////////////////////////////////////////////////////////////////_x000D_/// &lt;summary&gt;_x000D_/// 외관 검사기 통신 연결이 끊어 졌습니다_x000D_/// &lt;/summary&gt;_x000D_CO_INSP_PC_MAIN_N_DISCONNECTED = 21000,</v>
      </c>
    </row>
    <row r="161" spans="1:2" x14ac:dyDescent="0.3">
      <c r="A161" t="str">
        <f>IF(ISBLANK(Sheet1!C161),"",SUBSTITUTE(SUBSTITUTE(SUBSTITUTE(SUBSTITUTE(SUBSTITUTE(Sheet1!C161, " ", "_"), "-", "_"), "&amp;", "_"), "/", "_"), "#", "_"))</f>
        <v>CO_INSP_PC_MAIN_LIGHT_INTENCITY_REQUEST</v>
      </c>
      <c r="B161" t="str">
        <f>IF(ISBLANK(Sheet1!A161)=TRUE,"",IF(EXACT(Sheet1!W160,Sheet1!W161)=TRUE,"",$Z$1&amp;CHAR(13)&amp;$AA$1&amp;Sheet1!W161&amp;CHAR(13)&amp;$Z$1&amp;CHAR(13))&amp;$W$1&amp;CHAR(13)&amp;$V$1&amp;Sheet1!E161&amp;CHAR(13)&amp;$X$1&amp;CHAR(13)&amp;$A161&amp;" = "&amp;Sheet1!A161&amp;",")</f>
        <v>/// &lt;summary&gt;_x000D_/// 외관 검사 조명 광량 요청 Send 실패 하였습니다_x000D_/// &lt;/summary&gt;_x000D_CO_INSP_PC_MAIN_LIGHT_INTENCITY_REQUEST = 21001,</v>
      </c>
    </row>
    <row r="162" spans="1:2" x14ac:dyDescent="0.3">
      <c r="A162" t="str">
        <f>IF(ISBLANK(Sheet1!C162),"",SUBSTITUTE(SUBSTITUTE(SUBSTITUTE(SUBSTITUTE(SUBSTITUTE(Sheet1!C162, " ", "_"), "-", "_"), "&amp;", "_"), "/", "_"), "#", "_"))</f>
        <v>CO_INSP_PC_MAIN_LIGHT_TEMPERATURE_REQUEST</v>
      </c>
      <c r="B162" t="str">
        <f>IF(ISBLANK(Sheet1!A162)=TRUE,"",IF(EXACT(Sheet1!W161,Sheet1!W162)=TRUE,"",$Z$1&amp;CHAR(13)&amp;$AA$1&amp;Sheet1!W162&amp;CHAR(13)&amp;$Z$1&amp;CHAR(13))&amp;$W$1&amp;CHAR(13)&amp;$V$1&amp;Sheet1!E162&amp;CHAR(13)&amp;$X$1&amp;CHAR(13)&amp;$A162&amp;" = "&amp;Sheet1!A162&amp;",")</f>
        <v>/// &lt;summary&gt;_x000D_/// 외관 검사기 조명 온도 요청 Send 실패 하였습니다_x000D_/// &lt;/summary&gt;_x000D_CO_INSP_PC_MAIN_LIGHT_TEMPERATURE_REQUEST = 21002,</v>
      </c>
    </row>
    <row r="163" spans="1:2" x14ac:dyDescent="0.3">
      <c r="A163" t="str">
        <f>IF(ISBLANK(Sheet1!C163),"",SUBSTITUTE(SUBSTITUTE(SUBSTITUTE(SUBSTITUTE(SUBSTITUTE(Sheet1!C163, " ", "_"), "-", "_"), "&amp;", "_"), "/", "_"), "#", "_"))</f>
        <v>CO_INSP_PC_MAIN_CHECK_STATUS_SEND</v>
      </c>
      <c r="B163" t="str">
        <f>IF(ISBLANK(Sheet1!A163)=TRUE,"",IF(EXACT(Sheet1!W162,Sheet1!W163)=TRUE,"",$Z$1&amp;CHAR(13)&amp;$AA$1&amp;Sheet1!W163&amp;CHAR(13)&amp;$Z$1&amp;CHAR(13))&amp;$W$1&amp;CHAR(13)&amp;$V$1&amp;Sheet1!E163&amp;CHAR(13)&amp;$X$1&amp;CHAR(13)&amp;$A163&amp;" = "&amp;Sheet1!A163&amp;",")</f>
        <v>/// &lt;summary&gt;_x000D_/// 외관 검사기 인터페이스 상태 확인 Send 실패 하였습니다_x000D_/// &lt;/summary&gt;_x000D_CO_INSP_PC_MAIN_CHECK_STATUS_SEND = 21003,</v>
      </c>
    </row>
    <row r="164" spans="1:2" x14ac:dyDescent="0.3">
      <c r="A164" t="str">
        <f>IF(ISBLANK(Sheet1!C164),"",SUBSTITUTE(SUBSTITUTE(SUBSTITUTE(SUBSTITUTE(SUBSTITUTE(Sheet1!C164, " ", "_"), "-", "_"), "&amp;", "_"), "/", "_"), "#", "_"))</f>
        <v>CO_INSP_PC_MAIN_NOT_READY</v>
      </c>
      <c r="B164" t="str">
        <f>IF(ISBLANK(Sheet1!A164)=TRUE,"",IF(EXACT(Sheet1!W163,Sheet1!W164)=TRUE,"",$Z$1&amp;CHAR(13)&amp;$AA$1&amp;Sheet1!W164&amp;CHAR(13)&amp;$Z$1&amp;CHAR(13))&amp;$W$1&amp;CHAR(13)&amp;$V$1&amp;Sheet1!E164&amp;CHAR(13)&amp;$X$1&amp;CHAR(13)&amp;$A164&amp;" = "&amp;Sheet1!A164&amp;",")</f>
        <v>/// &lt;summary&gt;_x000D_/// 외관 검사 스테이지 검사 준비 상태가 아닙니다_x000D_/// &lt;/summary&gt;_x000D_CO_INSP_PC_MAIN_NOT_READY = 21004,</v>
      </c>
    </row>
    <row r="165" spans="1:2" x14ac:dyDescent="0.3">
      <c r="A165" t="str">
        <f>IF(ISBLANK(Sheet1!C165),"",SUBSTITUTE(SUBSTITUTE(SUBSTITUTE(SUBSTITUTE(SUBSTITUTE(Sheet1!C165, " ", "_"), "-", "_"), "&amp;", "_"), "/", "_"), "#", "_"))</f>
        <v>CO_INSP_PC_MAIN_GRAB_START_SEND</v>
      </c>
      <c r="B165" t="str">
        <f>IF(ISBLANK(Sheet1!A165)=TRUE,"",IF(EXACT(Sheet1!W164,Sheet1!W165)=TRUE,"",$Z$1&amp;CHAR(13)&amp;$AA$1&amp;Sheet1!W165&amp;CHAR(13)&amp;$Z$1&amp;CHAR(13))&amp;$W$1&amp;CHAR(13)&amp;$V$1&amp;Sheet1!E165&amp;CHAR(13)&amp;$X$1&amp;CHAR(13)&amp;$A165&amp;" = "&amp;Sheet1!A165&amp;",")</f>
        <v>/// &lt;summary&gt;_x000D_/// 외관 검사기 인터페이스 그랩 시작 Send 실패 하였습니다_x000D_/// &lt;/summary&gt;_x000D_CO_INSP_PC_MAIN_GRAB_START_SEND = 21005,</v>
      </c>
    </row>
    <row r="166" spans="1:2" x14ac:dyDescent="0.3">
      <c r="A166" t="str">
        <f>IF(ISBLANK(Sheet1!C166),"",SUBSTITUTE(SUBSTITUTE(SUBSTITUTE(SUBSTITUTE(SUBSTITUTE(Sheet1!C166, " ", "_"), "-", "_"), "&amp;", "_"), "/", "_"), "#", "_"))</f>
        <v>CO_INSP_PC_MAIN_GRAB_START_VALIDATION</v>
      </c>
      <c r="B166" t="str">
        <f>IF(ISBLANK(Sheet1!A166)=TRUE,"",IF(EXACT(Sheet1!W165,Sheet1!W166)=TRUE,"",$Z$1&amp;CHAR(13)&amp;$AA$1&amp;Sheet1!W166&amp;CHAR(13)&amp;$Z$1&amp;CHAR(13))&amp;$W$1&amp;CHAR(13)&amp;$V$1&amp;Sheet1!E166&amp;CHAR(13)&amp;$X$1&amp;CHAR(13)&amp;$A166&amp;" = "&amp;Sheet1!A166&amp;",")</f>
        <v>/// &lt;summary&gt;_x000D_/// 외관 검사기 인터페이스 그랩 시작 ReceiveData가 정확하지 않습니다_x000D_/// &lt;/summary&gt;_x000D_CO_INSP_PC_MAIN_GRAB_START_VALIDATION = 21006,</v>
      </c>
    </row>
    <row r="167" spans="1:2" x14ac:dyDescent="0.3">
      <c r="A167" t="str">
        <f>IF(ISBLANK(Sheet1!C167),"",SUBSTITUTE(SUBSTITUTE(SUBSTITUTE(SUBSTITUTE(SUBSTITUTE(Sheet1!C167, " ", "_"), "-", "_"), "&amp;", "_"), "/", "_"), "#", "_"))</f>
        <v>CO_INSP_PC_MAIN_GRAB_END_TIMEOUT</v>
      </c>
      <c r="B167" t="str">
        <f>IF(ISBLANK(Sheet1!A167)=TRUE,"",IF(EXACT(Sheet1!W166,Sheet1!W167)=TRUE,"",$Z$1&amp;CHAR(13)&amp;$AA$1&amp;Sheet1!W167&amp;CHAR(13)&amp;$Z$1&amp;CHAR(13))&amp;$W$1&amp;CHAR(13)&amp;$V$1&amp;Sheet1!E167&amp;CHAR(13)&amp;$X$1&amp;CHAR(13)&amp;$A167&amp;" = "&amp;Sheet1!A167&amp;",")</f>
        <v>/// &lt;summary&gt;_x000D_/// 외관 검사기 인터페이스 그랩 완료 응답 타임아웃 입니다_x000D_/// &lt;/summary&gt;_x000D_CO_INSP_PC_MAIN_GRAB_END_TIMEOUT = 21007,</v>
      </c>
    </row>
    <row r="168" spans="1:2" x14ac:dyDescent="0.3">
      <c r="A168" t="str">
        <f>IF(ISBLANK(Sheet1!C168),"",SUBSTITUTE(SUBSTITUTE(SUBSTITUTE(SUBSTITUTE(SUBSTITUTE(Sheet1!C168, " ", "_"), "-", "_"), "&amp;", "_"), "/", "_"), "#", "_"))</f>
        <v>CO_INSP_PC_MAIN_GRAB_END_VALIDATION</v>
      </c>
      <c r="B168" t="str">
        <f>IF(ISBLANK(Sheet1!A168)=TRUE,"",IF(EXACT(Sheet1!W167,Sheet1!W168)=TRUE,"",$Z$1&amp;CHAR(13)&amp;$AA$1&amp;Sheet1!W168&amp;CHAR(13)&amp;$Z$1&amp;CHAR(13))&amp;$W$1&amp;CHAR(13)&amp;$V$1&amp;Sheet1!E168&amp;CHAR(13)&amp;$X$1&amp;CHAR(13)&amp;$A168&amp;" = "&amp;Sheet1!A168&amp;",")</f>
        <v>/// &lt;summary&gt;_x000D_/// 외관 검사기 인터페이스 그랩 완료 ReceiveData가 정확하지 않습니다_x000D_/// &lt;/summary&gt;_x000D_CO_INSP_PC_MAIN_GRAB_END_VALIDATION = 21008,</v>
      </c>
    </row>
    <row r="169" spans="1:2" x14ac:dyDescent="0.3">
      <c r="A169" t="str">
        <f>IF(ISBLANK(Sheet1!C169),"",SUBSTITUTE(SUBSTITUTE(SUBSTITUTE(SUBSTITUTE(SUBSTITUTE(Sheet1!C169, " ", "_"), "-", "_"), "&amp;", "_"), "/", "_"), "#", "_"))</f>
        <v>IN_INSP_PC_MAIN_TOTAL_RESULT_TIMEOUT</v>
      </c>
      <c r="B169" t="str">
        <f>IF(ISBLANK(Sheet1!A169)=TRUE,"",IF(EXACT(Sheet1!W168,Sheet1!W169)=TRUE,"",$Z$1&amp;CHAR(13)&amp;$AA$1&amp;Sheet1!W169&amp;CHAR(13)&amp;$Z$1&amp;CHAR(13))&amp;$W$1&amp;CHAR(13)&amp;$V$1&amp;Sheet1!E169&amp;CHAR(13)&amp;$X$1&amp;CHAR(13)&amp;$A169&amp;" = "&amp;Sheet1!A169&amp;",")</f>
        <v>/// &lt;summary&gt;_x000D_/// 외관 검사기 종합 결과 응답 타임아웃 입니다_x000D_/// &lt;/summary&gt;_x000D_IN_INSP_PC_MAIN_TOTAL_RESULT_TIMEOUT = 21009,</v>
      </c>
    </row>
    <row r="170" spans="1:2" x14ac:dyDescent="0.3">
      <c r="A170" t="str">
        <f>IF(ISBLANK(Sheet1!C170),"",SUBSTITUTE(SUBSTITUTE(SUBSTITUTE(SUBSTITUTE(SUBSTITUTE(Sheet1!C170, " ", "_"), "-", "_"), "&amp;", "_"), "/", "_"), "#", "_"))</f>
        <v>IN_INSP_PC_MAIN_TOTAL_RESULT_NORESPONSE</v>
      </c>
      <c r="B170" t="str">
        <f>IF(ISBLANK(Sheet1!A170)=TRUE,"",IF(EXACT(Sheet1!W169,Sheet1!W170)=TRUE,"",$Z$1&amp;CHAR(13)&amp;$AA$1&amp;Sheet1!W170&amp;CHAR(13)&amp;$Z$1&amp;CHAR(13))&amp;$W$1&amp;CHAR(13)&amp;$V$1&amp;Sheet1!E170&amp;CHAR(13)&amp;$X$1&amp;CHAR(13)&amp;$A170&amp;" = "&amp;Sheet1!A170&amp;",")</f>
        <v>/// &lt;summary&gt;_x000D_/// 외관 검사기 종합 결과 응답 연속 타임아웃 입니다_x000D_/// &lt;/summary&gt;_x000D_IN_INSP_PC_MAIN_TOTAL_RESULT_NORESPONSE = 21010,</v>
      </c>
    </row>
    <row r="171" spans="1:2" x14ac:dyDescent="0.3">
      <c r="A171" t="str">
        <f>IF(ISBLANK(Sheet1!C171),"",SUBSTITUTE(SUBSTITUTE(SUBSTITUTE(SUBSTITUTE(SUBSTITUTE(Sheet1!C171, " ", "_"), "-", "_"), "&amp;", "_"), "/", "_"), "#", "_"))</f>
        <v>CO_INSP_PC_MAIN_ERROR</v>
      </c>
      <c r="B171" t="str">
        <f>IF(ISBLANK(Sheet1!A171)=TRUE,"",IF(EXACT(Sheet1!W170,Sheet1!W171)=TRUE,"",$Z$1&amp;CHAR(13)&amp;$AA$1&amp;Sheet1!W171&amp;CHAR(13)&amp;$Z$1&amp;CHAR(13))&amp;$W$1&amp;CHAR(13)&amp;$V$1&amp;Sheet1!E171&amp;CHAR(13)&amp;$X$1&amp;CHAR(13)&amp;$A171&amp;" = "&amp;Sheet1!A171&amp;",")</f>
        <v>/// &lt;summary&gt;_x000D_/// JAVAS 외관 검사기에서 Error가 발생 하였습니다_x000D_/// &lt;/summary&gt;_x000D_CO_INSP_PC_MAIN_ERROR = 21011,</v>
      </c>
    </row>
    <row r="172" spans="1:2" x14ac:dyDescent="0.3">
      <c r="A172" t="str">
        <f>IF(ISBLANK(Sheet1!C172),"",SUBSTITUTE(SUBSTITUTE(SUBSTITUTE(SUBSTITUTE(SUBSTITUTE(Sheet1!C172, " ", "_"), "-", "_"), "&amp;", "_"), "/", "_"), "#", "_"))</f>
        <v>CO_INSP_PC_MAIN_ERROR_SAME_POSITION_DEFECT</v>
      </c>
      <c r="B172" t="str">
        <f>IF(ISBLANK(Sheet1!A172)=TRUE,"",IF(EXACT(Sheet1!W171,Sheet1!W172)=TRUE,"",$Z$1&amp;CHAR(13)&amp;$AA$1&amp;Sheet1!W172&amp;CHAR(13)&amp;$Z$1&amp;CHAR(13))&amp;$W$1&amp;CHAR(13)&amp;$V$1&amp;Sheet1!E172&amp;CHAR(13)&amp;$X$1&amp;CHAR(13)&amp;$A172&amp;" = "&amp;Sheet1!A172&amp;",")</f>
        <v>/// &lt;summary&gt;_x000D_/// JAVAS 외관 검사 결과 동일한 위치에 손상이 발생 하였습니다_x000D_/// &lt;/summary&gt;_x000D_CO_INSP_PC_MAIN_ERROR_SAME_POSITION_DEFECT = 21012,</v>
      </c>
    </row>
    <row r="173" spans="1:2" x14ac:dyDescent="0.3">
      <c r="A173" t="str">
        <f>IF(ISBLANK(Sheet1!C173),"",SUBSTITUTE(SUBSTITUTE(SUBSTITUTE(SUBSTITUTE(SUBSTITUTE(Sheet1!C173, " ", "_"), "-", "_"), "&amp;", "_"), "/", "_"), "#", "_"))</f>
        <v>CO_INSP_PC_MAIN_ERROR_CAMERA</v>
      </c>
      <c r="B173" t="str">
        <f>IF(ISBLANK(Sheet1!A173)=TRUE,"",IF(EXACT(Sheet1!W172,Sheet1!W173)=TRUE,"",$Z$1&amp;CHAR(13)&amp;$AA$1&amp;Sheet1!W173&amp;CHAR(13)&amp;$Z$1&amp;CHAR(13))&amp;$W$1&amp;CHAR(13)&amp;$V$1&amp;Sheet1!E173&amp;CHAR(13)&amp;$X$1&amp;CHAR(13)&amp;$A173&amp;" = "&amp;Sheet1!A173&amp;",")</f>
        <v>/// &lt;summary&gt;_x000D_/// 외관 검사PC 카메라에 이상이 있습니다_x000D_/// &lt;/summary&gt;_x000D_CO_INSP_PC_MAIN_ERROR_CAMERA = 21013,</v>
      </c>
    </row>
    <row r="174" spans="1:2" x14ac:dyDescent="0.3">
      <c r="A174" t="str">
        <f>IF(ISBLANK(Sheet1!C174),"",SUBSTITUTE(SUBSTITUTE(SUBSTITUTE(SUBSTITUTE(SUBSTITUTE(Sheet1!C174, " ", "_"), "-", "_"), "&amp;", "_"), "/", "_"), "#", "_"))</f>
        <v>CO_INSP_PC_MAIN_ERROR_LIGHT_CONTROLLER</v>
      </c>
      <c r="B174" t="str">
        <f>IF(ISBLANK(Sheet1!A174)=TRUE,"",IF(EXACT(Sheet1!W173,Sheet1!W174)=TRUE,"",$Z$1&amp;CHAR(13)&amp;$AA$1&amp;Sheet1!W174&amp;CHAR(13)&amp;$Z$1&amp;CHAR(13))&amp;$W$1&amp;CHAR(13)&amp;$V$1&amp;Sheet1!E174&amp;CHAR(13)&amp;$X$1&amp;CHAR(13)&amp;$A174&amp;" = "&amp;Sheet1!A174&amp;",")</f>
        <v>/// &lt;summary&gt;_x000D_/// 외관 검사PC 조명 컨트롤러에 이상이 있습니다_x000D_/// &lt;/summary&gt;_x000D_CO_INSP_PC_MAIN_ERROR_LIGHT_CONTROLLER = 21014,</v>
      </c>
    </row>
    <row r="175" spans="1:2" x14ac:dyDescent="0.3">
      <c r="A175" t="str">
        <f>IF(ISBLANK(Sheet1!C175),"",SUBSTITUTE(SUBSTITUTE(SUBSTITUTE(SUBSTITUTE(SUBSTITUTE(Sheet1!C175, " ", "_"), "-", "_"), "&amp;", "_"), "/", "_"), "#", "_"))</f>
        <v>CO_INSP_PC_MAIN_CELL_DATA_SYNC_SEND</v>
      </c>
      <c r="B175" t="str">
        <f>IF(ISBLANK(Sheet1!A175)=TRUE,"",IF(EXACT(Sheet1!W174,Sheet1!W175)=TRUE,"",$Z$1&amp;CHAR(13)&amp;$AA$1&amp;Sheet1!W175&amp;CHAR(13)&amp;$Z$1&amp;CHAR(13))&amp;$W$1&amp;CHAR(13)&amp;$V$1&amp;Sheet1!E175&amp;CHAR(13)&amp;$X$1&amp;CHAR(13)&amp;$A175&amp;" = "&amp;Sheet1!A175&amp;",")</f>
        <v>/// &lt;summary&gt;_x000D_/// 외관 검사기 인터페이스 셀 데이터 동기화 Send 실패 하였습니다_x000D_/// &lt;/summary&gt;_x000D_CO_INSP_PC_MAIN_CELL_DATA_SYNC_SEND = 21015,</v>
      </c>
    </row>
    <row r="176" spans="1:2" x14ac:dyDescent="0.3">
      <c r="A176" t="str">
        <f>IF(ISBLANK(Sheet1!C176),"",SUBSTITUTE(SUBSTITUTE(SUBSTITUTE(SUBSTITUTE(SUBSTITUTE(Sheet1!C176, " ", "_"), "-", "_"), "&amp;", "_"), "/", "_"), "#", "_"))</f>
        <v>CO_INSP_PC_MAIN_CELL_DATA_SYNC_VALIDATION</v>
      </c>
      <c r="B176" t="str">
        <f>IF(ISBLANK(Sheet1!A176)=TRUE,"",IF(EXACT(Sheet1!W175,Sheet1!W176)=TRUE,"",$Z$1&amp;CHAR(13)&amp;$AA$1&amp;Sheet1!W176&amp;CHAR(13)&amp;$Z$1&amp;CHAR(13))&amp;$W$1&amp;CHAR(13)&amp;$V$1&amp;Sheet1!E176&amp;CHAR(13)&amp;$X$1&amp;CHAR(13)&amp;$A176&amp;" = "&amp;Sheet1!A176&amp;",")</f>
        <v>/// &lt;summary&gt;_x000D_/// 외관 검사기 인터페이스 셀 데이터 동기화 ReceiveData가 정확하지 않습니다_x000D_/// &lt;/summary&gt;_x000D_CO_INSP_PC_MAIN_CELL_DATA_SYNC_VALIDATION = 21016,</v>
      </c>
    </row>
    <row r="177" spans="1:2" x14ac:dyDescent="0.3">
      <c r="A177" t="str">
        <f>IF(ISBLANK(Sheet1!C177),"",SUBSTITUTE(SUBSTITUTE(SUBSTITUTE(SUBSTITUTE(SUBSTITUTE(Sheet1!C177, " ", "_"), "-", "_"), "&amp;", "_"), "/", "_"), "#", "_"))</f>
        <v>CO_INSP_PC_MAIN_AMO_GRAB_START_SEND</v>
      </c>
      <c r="B177" t="str">
        <f>IF(ISBLANK(Sheet1!A177)=TRUE,"",IF(EXACT(Sheet1!W176,Sheet1!W177)=TRUE,"",$Z$1&amp;CHAR(13)&amp;$AA$1&amp;Sheet1!W177&amp;CHAR(13)&amp;$Z$1&amp;CHAR(13))&amp;$W$1&amp;CHAR(13)&amp;$V$1&amp;Sheet1!E177&amp;CHAR(13)&amp;$X$1&amp;CHAR(13)&amp;$A177&amp;" = "&amp;Sheet1!A177&amp;",")</f>
        <v>/// &lt;summary&gt;_x000D_/// 외관 검사기 인터페이스 AMO 그랩 시작 Send 실패 하였습니다 (간이 광학계)_x000D_/// &lt;/summary&gt;_x000D_CO_INSP_PC_MAIN_AMO_GRAB_START_SEND = 21017,</v>
      </c>
    </row>
    <row r="178" spans="1:2" x14ac:dyDescent="0.3">
      <c r="A178" t="str">
        <f>IF(ISBLANK(Sheet1!C178),"",SUBSTITUTE(SUBSTITUTE(SUBSTITUTE(SUBSTITUTE(SUBSTITUTE(Sheet1!C178, " ", "_"), "-", "_"), "&amp;", "_"), "/", "_"), "#", "_"))</f>
        <v>CO_INSP_PC_MAIN_AMO_GRAB_START_VALIDATION</v>
      </c>
      <c r="B178" t="str">
        <f>IF(ISBLANK(Sheet1!A178)=TRUE,"",IF(EXACT(Sheet1!W177,Sheet1!W178)=TRUE,"",$Z$1&amp;CHAR(13)&amp;$AA$1&amp;Sheet1!W178&amp;CHAR(13)&amp;$Z$1&amp;CHAR(13))&amp;$W$1&amp;CHAR(13)&amp;$V$1&amp;Sheet1!E178&amp;CHAR(13)&amp;$X$1&amp;CHAR(13)&amp;$A178&amp;" = "&amp;Sheet1!A178&amp;",")</f>
        <v>/// &lt;summary&gt;_x000D_/// 외관 검사기 인터페이스 AMO 그랩 시작 ReceiveData가 정확하지 않습니다 (간이 광학계)_x000D_/// &lt;/summary&gt;_x000D_CO_INSP_PC_MAIN_AMO_GRAB_START_VALIDATION = 21018,</v>
      </c>
    </row>
    <row r="179" spans="1:2" x14ac:dyDescent="0.3">
      <c r="A179" t="str">
        <f>IF(ISBLANK(Sheet1!C179),"",SUBSTITUTE(SUBSTITUTE(SUBSTITUTE(SUBSTITUTE(SUBSTITUTE(Sheet1!C179, " ", "_"), "-", "_"), "&amp;", "_"), "/", "_"), "#", "_"))</f>
        <v>CO_INSP_PC_MAIN_AMO_GRAB_END_SEND</v>
      </c>
      <c r="B179" t="str">
        <f>IF(ISBLANK(Sheet1!A179)=TRUE,"",IF(EXACT(Sheet1!W178,Sheet1!W179)=TRUE,"",$Z$1&amp;CHAR(13)&amp;$AA$1&amp;Sheet1!W179&amp;CHAR(13)&amp;$Z$1&amp;CHAR(13))&amp;$W$1&amp;CHAR(13)&amp;$V$1&amp;Sheet1!E179&amp;CHAR(13)&amp;$X$1&amp;CHAR(13)&amp;$A179&amp;" = "&amp;Sheet1!A179&amp;",")</f>
        <v>/// &lt;summary&gt;_x000D_/// 외관 검사기 인터페이스 AMO 그랩 완료 Send 실패 하였습니다 (간이 광학계)_x000D_/// &lt;/summary&gt;_x000D_CO_INSP_PC_MAIN_AMO_GRAB_END_SEND = 21019,</v>
      </c>
    </row>
    <row r="180" spans="1:2" x14ac:dyDescent="0.3">
      <c r="A180" t="str">
        <f>IF(ISBLANK(Sheet1!C180),"",SUBSTITUTE(SUBSTITUTE(SUBSTITUTE(SUBSTITUTE(SUBSTITUTE(Sheet1!C180, " ", "_"), "-", "_"), "&amp;", "_"), "/", "_"), "#", "_"))</f>
        <v>CO_INSP_PC_MAIN_AMO_GRAB_END_VALIDATION</v>
      </c>
      <c r="B180" t="str">
        <f>IF(ISBLANK(Sheet1!A180)=TRUE,"",IF(EXACT(Sheet1!W179,Sheet1!W180)=TRUE,"",$Z$1&amp;CHAR(13)&amp;$AA$1&amp;Sheet1!W180&amp;CHAR(13)&amp;$Z$1&amp;CHAR(13))&amp;$W$1&amp;CHAR(13)&amp;$V$1&amp;Sheet1!E180&amp;CHAR(13)&amp;$X$1&amp;CHAR(13)&amp;$A180&amp;" = "&amp;Sheet1!A180&amp;",")</f>
        <v>/// &lt;summary&gt;_x000D_/// 외관 검사기 인터페이스 AMO 그랩 완료 ReceiveData가 정확하지 않습니다 (간이 광학계)_x000D_/// &lt;/summary&gt;_x000D_CO_INSP_PC_MAIN_AMO_GRAB_END_VALIDATION = 21020,</v>
      </c>
    </row>
    <row r="181" spans="1:2" x14ac:dyDescent="0.3">
      <c r="A181" t="str">
        <f>IF(ISBLANK(Sheet1!C181),"",SUBSTITUTE(SUBSTITUTE(SUBSTITUTE(SUBSTITUTE(SUBSTITUTE(Sheet1!C181, " ", "_"), "-", "_"), "&amp;", "_"), "/", "_"), "#", "_"))</f>
        <v>VA_TRANSFER_CIM_P1_TRACKING_FAILED</v>
      </c>
      <c r="B181" t="str">
        <f>IF(ISBLANK(Sheet1!A181)=TRUE,"",IF(EXACT(Sheet1!W180,Sheet1!W181)=TRUE,"",$Z$1&amp;CHAR(13)&amp;$AA$1&amp;Sheet1!W181&amp;CHAR(13)&amp;$Z$1&amp;CHAR(13))&amp;$W$1&amp;CHAR(13)&amp;$V$1&amp;Sheet1!E181&amp;CHAR(13)&amp;$X$1&amp;CHAR(13)&amp;$A181&amp;" = "&amp;Sheet1!A181&amp;",")</f>
        <v>//////////////////////////////////////////////////////////////////////////_x000D_// CIM_x000D_//////////////////////////////////////////////////////////////////////////_x000D_/// &lt;summary&gt;_x000D_/// P1 트랙킹에 실패했습니다_x000D_/// &lt;/summary&gt;_x000D_VA_TRANSFER_CIM_P1_TRACKING_FAILED = 29500,</v>
      </c>
    </row>
    <row r="182" spans="1:2" x14ac:dyDescent="0.3">
      <c r="A182" t="str">
        <f>IF(ISBLANK(Sheet1!C182),"",SUBSTITUTE(SUBSTITUTE(SUBSTITUTE(SUBSTITUTE(SUBSTITUTE(Sheet1!C182, " ", "_"), "-", "_"), "&amp;", "_"), "/", "_"), "#", "_"))</f>
        <v>VA_TRANSFER_CIM_P1_TRACKING_TIMEOUT</v>
      </c>
      <c r="B182" t="str">
        <f>IF(ISBLANK(Sheet1!A182)=TRUE,"",IF(EXACT(Sheet1!W181,Sheet1!W182)=TRUE,"",$Z$1&amp;CHAR(13)&amp;$AA$1&amp;Sheet1!W182&amp;CHAR(13)&amp;$Z$1&amp;CHAR(13))&amp;$W$1&amp;CHAR(13)&amp;$V$1&amp;Sheet1!E182&amp;CHAR(13)&amp;$X$1&amp;CHAR(13)&amp;$A182&amp;" = "&amp;Sheet1!A182&amp;",")</f>
        <v>/// &lt;summary&gt;_x000D_/// P1 트랙킹 시간이 초과했습니다_x000D_/// &lt;/summary&gt;_x000D_VA_TRANSFER_CIM_P1_TRACKING_TIMEOUT = 29501,</v>
      </c>
    </row>
    <row r="183" spans="1:2" x14ac:dyDescent="0.3">
      <c r="A183" t="str">
        <f>IF(ISBLANK(Sheet1!C183),"",SUBSTITUTE(SUBSTITUTE(SUBSTITUTE(SUBSTITUTE(SUBSTITUTE(Sheet1!C183, " ", "_"), "-", "_"), "&amp;", "_"), "/", "_"), "#", "_"))</f>
        <v>VA_TRANSFER_CIM_P1_TRACKING_MISSMATCH</v>
      </c>
      <c r="B183" t="str">
        <f>IF(ISBLANK(Sheet1!A183)=TRUE,"",IF(EXACT(Sheet1!W182,Sheet1!W183)=TRUE,"",$Z$1&amp;CHAR(13)&amp;$AA$1&amp;Sheet1!W183&amp;CHAR(13)&amp;$Z$1&amp;CHAR(13))&amp;$W$1&amp;CHAR(13)&amp;$V$1&amp;Sheet1!E183&amp;CHAR(13)&amp;$X$1&amp;CHAR(13)&amp;$A183&amp;" = "&amp;Sheet1!A183&amp;",")</f>
        <v>/// &lt;summary&gt;_x000D_/// P1 트랙킹 CELL ID와 JOB PROCESS REQUEST CELL ID와 다릅니다_x000D_/// &lt;/summary&gt;_x000D_VA_TRANSFER_CIM_P1_TRACKING_MISSMATCH = 29502,</v>
      </c>
    </row>
    <row r="184" spans="1:2" x14ac:dyDescent="0.3">
      <c r="A184" t="str">
        <f>IF(ISBLANK(Sheet1!C184),"",SUBSTITUTE(SUBSTITUTE(SUBSTITUTE(SUBSTITUTE(SUBSTITUTE(Sheet1!C184, " ", "_"), "-", "_"), "&amp;", "_"), "/", "_"), "#", "_"))</f>
        <v>VA_TRANSFER_CIM_P1_CELL_INFORMATION_DOWNLOAD_FAILED</v>
      </c>
      <c r="B184" t="str">
        <f>IF(ISBLANK(Sheet1!A184)=TRUE,"",IF(EXACT(Sheet1!W183,Sheet1!W184)=TRUE,"",$Z$1&amp;CHAR(13)&amp;$AA$1&amp;Sheet1!W184&amp;CHAR(13)&amp;$Z$1&amp;CHAR(13))&amp;$W$1&amp;CHAR(13)&amp;$V$1&amp;Sheet1!E184&amp;CHAR(13)&amp;$X$1&amp;CHAR(13)&amp;$A184&amp;" = "&amp;Sheet1!A184&amp;",")</f>
        <v>/// &lt;summary&gt;_x000D_/// P1 셀 정보 다운로드에 실패했습니다_x000D_/// &lt;/summary&gt;_x000D_VA_TRANSFER_CIM_P1_CELL_INFORMATION_DOWNLOAD_FAILED = 29510,</v>
      </c>
    </row>
    <row r="185" spans="1:2" x14ac:dyDescent="0.3">
      <c r="A185" t="str">
        <f>IF(ISBLANK(Sheet1!C185),"",SUBSTITUTE(SUBSTITUTE(SUBSTITUTE(SUBSTITUTE(SUBSTITUTE(Sheet1!C185, " ", "_"), "-", "_"), "&amp;", "_"), "/", "_"), "#", "_"))</f>
        <v>VA_TRANSFER_CIM_P1_CELL_INFORMATION_DOWNLOAD_TIMEOUT</v>
      </c>
      <c r="B185" t="str">
        <f>IF(ISBLANK(Sheet1!A185)=TRUE,"",IF(EXACT(Sheet1!W184,Sheet1!W185)=TRUE,"",$Z$1&amp;CHAR(13)&amp;$AA$1&amp;Sheet1!W185&amp;CHAR(13)&amp;$Z$1&amp;CHAR(13))&amp;$W$1&amp;CHAR(13)&amp;$V$1&amp;Sheet1!E185&amp;CHAR(13)&amp;$X$1&amp;CHAR(13)&amp;$A185&amp;" = "&amp;Sheet1!A185&amp;",")</f>
        <v>/// &lt;summary&gt;_x000D_/// P1 셀 정보 다운로드 시간이 초과했습니다_x000D_/// &lt;/summary&gt;_x000D_VA_TRANSFER_CIM_P1_CELL_INFORMATION_DOWNLOAD_TIMEOUT = 29511,</v>
      </c>
    </row>
    <row r="186" spans="1:2" x14ac:dyDescent="0.3">
      <c r="A186" t="str">
        <f>IF(ISBLANK(Sheet1!C186),"",SUBSTITUTE(SUBSTITUTE(SUBSTITUTE(SUBSTITUTE(SUBSTITUTE(Sheet1!C186, " ", "_"), "-", "_"), "&amp;", "_"), "/", "_"), "#", "_"))</f>
        <v>VA_TRANSFER_CIM_P1_CELL_INFORMATION_DOWNLOAD_MISSMATCH</v>
      </c>
      <c r="B186" t="str">
        <f>IF(ISBLANK(Sheet1!A186)=TRUE,"",IF(EXACT(Sheet1!W185,Sheet1!W186)=TRUE,"",$Z$1&amp;CHAR(13)&amp;$AA$1&amp;Sheet1!W186&amp;CHAR(13)&amp;$Z$1&amp;CHAR(13))&amp;$W$1&amp;CHAR(13)&amp;$V$1&amp;Sheet1!E186&amp;CHAR(13)&amp;$X$1&amp;CHAR(13)&amp;$A186&amp;" = "&amp;Sheet1!A186&amp;",")</f>
        <v>/// &lt;summary&gt;_x000D_/// P1 셀 정보 다운로드 CELL ID와 JOB PROCESS REQUEST CELL ID와 다릅니다_x000D_/// &lt;/summary&gt;_x000D_VA_TRANSFER_CIM_P1_CELL_INFORMATION_DOWNLOAD_MISSMATCH = 29512,</v>
      </c>
    </row>
    <row r="187" spans="1:2" x14ac:dyDescent="0.3">
      <c r="A187" t="str">
        <f>IF(ISBLANK(Sheet1!C187),"",SUBSTITUTE(SUBSTITUTE(SUBSTITUTE(SUBSTITUTE(SUBSTITUTE(Sheet1!C187, " ", "_"), "-", "_"), "&amp;", "_"), "/", "_"), "#", "_"))</f>
        <v>VA_TRANSFER_CIM_P2_TRACKING_FAILED</v>
      </c>
      <c r="B187" t="str">
        <f>IF(ISBLANK(Sheet1!A187)=TRUE,"",IF(EXACT(Sheet1!W186,Sheet1!W187)=TRUE,"",$Z$1&amp;CHAR(13)&amp;$AA$1&amp;Sheet1!W187&amp;CHAR(13)&amp;$Z$1&amp;CHAR(13))&amp;$W$1&amp;CHAR(13)&amp;$V$1&amp;Sheet1!E187&amp;CHAR(13)&amp;$X$1&amp;CHAR(13)&amp;$A187&amp;" = "&amp;Sheet1!A187&amp;",")</f>
        <v>/// &lt;summary&gt;_x000D_/// P2 트랙킹에 실패했습니다_x000D_/// &lt;/summary&gt;_x000D_VA_TRANSFER_CIM_P2_TRACKING_FAILED = 29600,</v>
      </c>
    </row>
    <row r="188" spans="1:2" x14ac:dyDescent="0.3">
      <c r="A188" t="str">
        <f>IF(ISBLANK(Sheet1!C188),"",SUBSTITUTE(SUBSTITUTE(SUBSTITUTE(SUBSTITUTE(SUBSTITUTE(Sheet1!C188, " ", "_"), "-", "_"), "&amp;", "_"), "/", "_"), "#", "_"))</f>
        <v>VA_TRANSFER_CIM_P2_TRACKING_TIMEOUT</v>
      </c>
      <c r="B188" t="str">
        <f>IF(ISBLANK(Sheet1!A188)=TRUE,"",IF(EXACT(Sheet1!W187,Sheet1!W188)=TRUE,"",$Z$1&amp;CHAR(13)&amp;$AA$1&amp;Sheet1!W188&amp;CHAR(13)&amp;$Z$1&amp;CHAR(13))&amp;$W$1&amp;CHAR(13)&amp;$V$1&amp;Sheet1!E188&amp;CHAR(13)&amp;$X$1&amp;CHAR(13)&amp;$A188&amp;" = "&amp;Sheet1!A188&amp;",")</f>
        <v>/// &lt;summary&gt;_x000D_/// P2 트랙킹 시간이 초과했습니다_x000D_/// &lt;/summary&gt;_x000D_VA_TRANSFER_CIM_P2_TRACKING_TIMEOUT = 29601,</v>
      </c>
    </row>
    <row r="189" spans="1:2" x14ac:dyDescent="0.3">
      <c r="A189" t="str">
        <f>IF(ISBLANK(Sheet1!C189),"",SUBSTITUTE(SUBSTITUTE(SUBSTITUTE(SUBSTITUTE(SUBSTITUTE(Sheet1!C189, " ", "_"), "-", "_"), "&amp;", "_"), "/", "_"), "#", "_"))</f>
        <v>VA_TRANSFER_CIM_P2_TRACKING_MISSMATCH</v>
      </c>
      <c r="B189" t="str">
        <f>IF(ISBLANK(Sheet1!A189)=TRUE,"",IF(EXACT(Sheet1!W188,Sheet1!W189)=TRUE,"",$Z$1&amp;CHAR(13)&amp;$AA$1&amp;Sheet1!W189&amp;CHAR(13)&amp;$Z$1&amp;CHAR(13))&amp;$W$1&amp;CHAR(13)&amp;$V$1&amp;Sheet1!E189&amp;CHAR(13)&amp;$X$1&amp;CHAR(13)&amp;$A189&amp;" = "&amp;Sheet1!A189&amp;",")</f>
        <v>/// &lt;summary&gt;_x000D_/// P2 트랙킹 CELL ID와 JOB PROCESS REQUEST CELL ID와 다릅니다_x000D_/// &lt;/summary&gt;_x000D_VA_TRANSFER_CIM_P2_TRACKING_MISSMATCH = 29602,</v>
      </c>
    </row>
    <row r="190" spans="1:2" x14ac:dyDescent="0.3">
      <c r="A190" t="str">
        <f>IF(ISBLANK(Sheet1!C190),"",SUBSTITUTE(SUBSTITUTE(SUBSTITUTE(SUBSTITUTE(SUBSTITUTE(Sheet1!C190, " ", "_"), "-", "_"), "&amp;", "_"), "/", "_"), "#", "_"))</f>
        <v>VA_TRANSFER_CIM_P2_CELL_INFORMATION_DOWNLOAD_FAILED</v>
      </c>
      <c r="B190" t="str">
        <f>IF(ISBLANK(Sheet1!A190)=TRUE,"",IF(EXACT(Sheet1!W189,Sheet1!W190)=TRUE,"",$Z$1&amp;CHAR(13)&amp;$AA$1&amp;Sheet1!W190&amp;CHAR(13)&amp;$Z$1&amp;CHAR(13))&amp;$W$1&amp;CHAR(13)&amp;$V$1&amp;Sheet1!E190&amp;CHAR(13)&amp;$X$1&amp;CHAR(13)&amp;$A190&amp;" = "&amp;Sheet1!A190&amp;",")</f>
        <v>/// &lt;summary&gt;_x000D_/// P2 셀 정보 다운로드에 실패했습니다_x000D_/// &lt;/summary&gt;_x000D_VA_TRANSFER_CIM_P2_CELL_INFORMATION_DOWNLOAD_FAILED = 29610,</v>
      </c>
    </row>
    <row r="191" spans="1:2" x14ac:dyDescent="0.3">
      <c r="A191" t="str">
        <f>IF(ISBLANK(Sheet1!C191),"",SUBSTITUTE(SUBSTITUTE(SUBSTITUTE(SUBSTITUTE(SUBSTITUTE(Sheet1!C191, " ", "_"), "-", "_"), "&amp;", "_"), "/", "_"), "#", "_"))</f>
        <v>VA_TRANSFER_CIM_P2_CELL_INFORMATION_DOWNLOAD_TIMEOUT</v>
      </c>
      <c r="B191" t="str">
        <f>IF(ISBLANK(Sheet1!A191)=TRUE,"",IF(EXACT(Sheet1!W190,Sheet1!W191)=TRUE,"",$Z$1&amp;CHAR(13)&amp;$AA$1&amp;Sheet1!W191&amp;CHAR(13)&amp;$Z$1&amp;CHAR(13))&amp;$W$1&amp;CHAR(13)&amp;$V$1&amp;Sheet1!E191&amp;CHAR(13)&amp;$X$1&amp;CHAR(13)&amp;$A191&amp;" = "&amp;Sheet1!A191&amp;",")</f>
        <v>/// &lt;summary&gt;_x000D_/// P2 셀 정보 다운로드 시간이 초과했습니다_x000D_/// &lt;/summary&gt;_x000D_VA_TRANSFER_CIM_P2_CELL_INFORMATION_DOWNLOAD_TIMEOUT = 29611,</v>
      </c>
    </row>
    <row r="192" spans="1:2" x14ac:dyDescent="0.3">
      <c r="A192" t="str">
        <f>IF(ISBLANK(Sheet1!C192),"",SUBSTITUTE(SUBSTITUTE(SUBSTITUTE(SUBSTITUTE(SUBSTITUTE(Sheet1!C192, " ", "_"), "-", "_"), "&amp;", "_"), "/", "_"), "#", "_"))</f>
        <v>VA_TRANSFER_CIM_P2_CELL_INFORMATION_DOWNLOAD_MISSMATCH</v>
      </c>
      <c r="B192" t="str">
        <f>IF(ISBLANK(Sheet1!A192)=TRUE,"",IF(EXACT(Sheet1!W191,Sheet1!W192)=TRUE,"",$Z$1&amp;CHAR(13)&amp;$AA$1&amp;Sheet1!W192&amp;CHAR(13)&amp;$Z$1&amp;CHAR(13))&amp;$W$1&amp;CHAR(13)&amp;$V$1&amp;Sheet1!E192&amp;CHAR(13)&amp;$X$1&amp;CHAR(13)&amp;$A192&amp;" = "&amp;Sheet1!A192&amp;",")</f>
        <v>/// &lt;summary&gt;_x000D_/// P2 셀 정보 다운로드 CELL ID와 JOB PROCESS REQUEST CELL ID와 다릅니다_x000D_/// &lt;/summary&gt;_x000D_VA_TRANSFER_CIM_P2_CELL_INFORMATION_DOWNLOAD_MISSMATCH = 29612,</v>
      </c>
    </row>
    <row r="193" spans="1:2" x14ac:dyDescent="0.3">
      <c r="A193" t="str">
        <f>IF(ISBLANK(Sheet1!C193),"",SUBSTITUTE(SUBSTITUTE(SUBSTITUTE(SUBSTITUTE(SUBSTITUTE(Sheet1!C193, " ", "_"), "-", "_"), "&amp;", "_"), "/", "_"), "#", "_"))</f>
        <v>CO_TRANSFER_CIM_N_HOST_DISCONNECTED</v>
      </c>
      <c r="B193" t="str">
        <f>IF(ISBLANK(Sheet1!A193)=TRUE,"",IF(EXACT(Sheet1!W192,Sheet1!W193)=TRUE,"",$Z$1&amp;CHAR(13)&amp;$AA$1&amp;Sheet1!W193&amp;CHAR(13)&amp;$Z$1&amp;CHAR(13))&amp;$W$1&amp;CHAR(13)&amp;$V$1&amp;Sheet1!E193&amp;CHAR(13)&amp;$X$1&amp;CHAR(13)&amp;$A193&amp;" = "&amp;Sheet1!A193&amp;",")</f>
        <v>/// &lt;summary&gt;_x000D_/// HOST 통신 연결이 끊겼습니다_x000D_/// &lt;/summary&gt;_x000D_CO_TRANSFER_CIM_N_HOST_DISCONNECTED = 29998,</v>
      </c>
    </row>
    <row r="194" spans="1:2" x14ac:dyDescent="0.3">
      <c r="A194" t="str">
        <f>IF(ISBLANK(Sheet1!C194),"",SUBSTITUTE(SUBSTITUTE(SUBSTITUTE(SUBSTITUTE(SUBSTITUTE(Sheet1!C194, " ", "_"), "-", "_"), "&amp;", "_"), "/", "_"), "#", "_"))</f>
        <v>CO_TRANSFER_CIM_N_CIM_DISCONNECTED</v>
      </c>
      <c r="B194" t="str">
        <f>IF(ISBLANK(Sheet1!A194)=TRUE,"",IF(EXACT(Sheet1!W193,Sheet1!W194)=TRUE,"",$Z$1&amp;CHAR(13)&amp;$AA$1&amp;Sheet1!W194&amp;CHAR(13)&amp;$Z$1&amp;CHAR(13))&amp;$W$1&amp;CHAR(13)&amp;$V$1&amp;Sheet1!E194&amp;CHAR(13)&amp;$X$1&amp;CHAR(13)&amp;$A194&amp;" = "&amp;Sheet1!A194&amp;",")</f>
        <v>/// &lt;summary&gt;_x000D_/// CIM 통신 연결이 끊겼습니다_x000D_/// &lt;/summary&gt;_x000D_CO_TRANSFER_CIM_N_CIM_DISCONNECTED = 29999,</v>
      </c>
    </row>
    <row r="195" spans="1:2" x14ac:dyDescent="0.3">
      <c r="A195" t="str">
        <f>IF(ISBLANK(Sheet1!C195),"",SUBSTITUTE(SUBSTITUTE(SUBSTITUTE(SUBSTITUTE(SUBSTITUTE(Sheet1!C195, " ", "_"), "-", "_"), "&amp;", "_"), "/", "_"), "#", "_"))</f>
        <v>UT_MAIN_ELECTRONICBOX_TEMPERATURE_1_N_OVER40</v>
      </c>
      <c r="B195" t="str">
        <f>IF(ISBLANK(Sheet1!A195)=TRUE,"",IF(EXACT(Sheet1!W194,Sheet1!W195)=TRUE,"",$Z$1&amp;CHAR(13)&amp;$AA$1&amp;Sheet1!W195&amp;CHAR(13)&amp;$Z$1&amp;CHAR(13))&amp;$W$1&amp;CHAR(13)&amp;$V$1&amp;Sheet1!E195&amp;CHAR(13)&amp;$X$1&amp;CHAR(13)&amp;$A195&amp;" = "&amp;Sheet1!A195&amp;",")</f>
        <v>//////////////////////////////////////////////////////////////////////////_x000D_// SAFETY_x000D_//////////////////////////////////////////////////////////////////////////_x000D_/// &lt;summary&gt;_x000D_/// 전장반 온도가 40도를 초과 했습니다_x000D_/// &lt;/summary&gt;_x000D_UT_MAIN_ELECTRONICBOX_TEMPERATURE_1_N_OVER40 = 30000,</v>
      </c>
    </row>
    <row r="196" spans="1:2" x14ac:dyDescent="0.3">
      <c r="A196" t="str">
        <f>IF(ISBLANK(Sheet1!C196),"",SUBSTITUTE(SUBSTITUTE(SUBSTITUTE(SUBSTITUTE(SUBSTITUTE(Sheet1!C196, " ", "_"), "-", "_"), "&amp;", "_"), "/", "_"), "#", "_"))</f>
        <v>UT_MAIN_PCRACK_TEMPERATURE_1_N_OVER40</v>
      </c>
      <c r="B196" t="str">
        <f>IF(ISBLANK(Sheet1!A196)=TRUE,"",IF(EXACT(Sheet1!W195,Sheet1!W196)=TRUE,"",$Z$1&amp;CHAR(13)&amp;$AA$1&amp;Sheet1!W196&amp;CHAR(13)&amp;$Z$1&amp;CHAR(13))&amp;$W$1&amp;CHAR(13)&amp;$V$1&amp;Sheet1!E196&amp;CHAR(13)&amp;$X$1&amp;CHAR(13)&amp;$A196&amp;" = "&amp;Sheet1!A196&amp;",")</f>
        <v>/// &lt;summary&gt;_x000D_/// PC 랙 온도가 40도를 초과 했습니다_x000D_/// &lt;/summary&gt;_x000D_UT_MAIN_PCRACK_TEMPERATURE_1_N_OVER40 = 30001,</v>
      </c>
    </row>
    <row r="197" spans="1:2" x14ac:dyDescent="0.3">
      <c r="A197" t="str">
        <f>IF(ISBLANK(Sheet1!C197),"",SUBSTITUTE(SUBSTITUTE(SUBSTITUTE(SUBSTITUTE(SUBSTITUTE(Sheet1!C197, " ", "_"), "-", "_"), "&amp;", "_"), "/", "_"), "#", "_"))</f>
        <v>UT_MAIN_ELECTRONICBOX_SMOKE_SENSOR_1_N_DETECTED</v>
      </c>
      <c r="B197" t="str">
        <f>IF(ISBLANK(Sheet1!A197)=TRUE,"",IF(EXACT(Sheet1!W196,Sheet1!W197)=TRUE,"",$Z$1&amp;CHAR(13)&amp;$AA$1&amp;Sheet1!W197&amp;CHAR(13)&amp;$Z$1&amp;CHAR(13))&amp;$W$1&amp;CHAR(13)&amp;$V$1&amp;Sheet1!E197&amp;CHAR(13)&amp;$X$1&amp;CHAR(13)&amp;$A197&amp;" = "&amp;Sheet1!A197&amp;",")</f>
        <v>/// &lt;summary&gt;_x000D_/// 전장반에 연기가 감지되었습니다_x000D_/// &lt;/summary&gt;_x000D_UT_MAIN_ELECTRONICBOX_SMOKE_SENSOR_1_N_DETECTED = 30002,</v>
      </c>
    </row>
    <row r="198" spans="1:2" x14ac:dyDescent="0.3">
      <c r="A198" t="str">
        <f>IF(ISBLANK(Sheet1!C198),"",SUBSTITUTE(SUBSTITUTE(SUBSTITUTE(SUBSTITUTE(SUBSTITUTE(Sheet1!C198, " ", "_"), "-", "_"), "&amp;", "_"), "/", "_"), "#", "_"))</f>
        <v>UT_MAIN_SAFETYPLC_GPS_MC_POWER_OFF</v>
      </c>
      <c r="B198" t="str">
        <f>IF(ISBLANK(Sheet1!A198)=TRUE,"",IF(EXACT(Sheet1!W197,Sheet1!W198)=TRUE,"",$Z$1&amp;CHAR(13)&amp;$AA$1&amp;Sheet1!W198&amp;CHAR(13)&amp;$Z$1&amp;CHAR(13))&amp;$W$1&amp;CHAR(13)&amp;$V$1&amp;Sheet1!E198&amp;CHAR(13)&amp;$X$1&amp;CHAR(13)&amp;$A198&amp;" = "&amp;Sheet1!A198&amp;",")</f>
        <v>/// &lt;summary&gt;_x000D_/// 세이프티 PLC 문제 발생하여 설비 MAGNET 전원이 OFF 되었습니다_x000D_/// &lt;/summary&gt;_x000D_UT_MAIN_SAFETYPLC_GPS_MC_POWER_OFF = 30003,</v>
      </c>
    </row>
    <row r="199" spans="1:2" x14ac:dyDescent="0.3">
      <c r="A199" t="str">
        <f>IF(ISBLANK(Sheet1!C199),"",SUBSTITUTE(SUBSTITUTE(SUBSTITUTE(SUBSTITUTE(SUBSTITUTE(Sheet1!C199, " ", "_"), "-", "_"), "&amp;", "_"), "/", "_"), "#", "_"))</f>
        <v>CO_MAIN_DEVICE_MCU_DISCONNECTED</v>
      </c>
      <c r="B199" t="str">
        <f>IF(ISBLANK(Sheet1!A199)=TRUE,"",IF(EXACT(Sheet1!W198,Sheet1!W199)=TRUE,"",$Z$1&amp;CHAR(13)&amp;$AA$1&amp;Sheet1!W199&amp;CHAR(13)&amp;$Z$1&amp;CHAR(13))&amp;$W$1&amp;CHAR(13)&amp;$V$1&amp;Sheet1!E199&amp;CHAR(13)&amp;$X$1&amp;CHAR(13)&amp;$A199&amp;" = "&amp;Sheet1!A199&amp;",")</f>
        <v>/// &lt;summary&gt;_x000D_/// FFU컨트롤러 연결이 끊어졌습니다._x000D_/// &lt;/summary&gt;_x000D_CO_MAIN_DEVICE_MCU_DISCONNECTED = 30004,</v>
      </c>
    </row>
    <row r="200" spans="1:2" x14ac:dyDescent="0.3">
      <c r="A200" t="str">
        <f>IF(ISBLANK(Sheet1!C200),"",SUBSTITUTE(SUBSTITUTE(SUBSTITUTE(SUBSTITUTE(SUBSTITUTE(Sheet1!C200, " ", "_"), "-", "_"), "&amp;", "_"), "/", "_"), "#", "_"))</f>
        <v>CO_MAIN_DEVICE_GMS_DISCONNECTED</v>
      </c>
      <c r="B200" t="str">
        <f>IF(ISBLANK(Sheet1!A200)=TRUE,"",IF(EXACT(Sheet1!W199,Sheet1!W200)=TRUE,"",$Z$1&amp;CHAR(13)&amp;$AA$1&amp;Sheet1!W200&amp;CHAR(13)&amp;$Z$1&amp;CHAR(13))&amp;$W$1&amp;CHAR(13)&amp;$V$1&amp;Sheet1!E200&amp;CHAR(13)&amp;$X$1&amp;CHAR(13)&amp;$A200&amp;" = "&amp;Sheet1!A200&amp;",")</f>
        <v>/// &lt;summary&gt;_x000D_/// 접지 저항 측정기 연결이 끊어졌습니다._x000D_/// &lt;/summary&gt;_x000D_CO_MAIN_DEVICE_GMS_DISCONNECTED = 30005,</v>
      </c>
    </row>
    <row r="201" spans="1:2" x14ac:dyDescent="0.3">
      <c r="A201" t="str">
        <f>IF(ISBLANK(Sheet1!C201),"",SUBSTITUTE(SUBSTITUTE(SUBSTITUTE(SUBSTITUTE(SUBSTITUTE(Sheet1!C201, " ", "_"), "-", "_"), "&amp;", "_"), "/", "_"), "#", "_"))</f>
        <v>CO_MAIN_ELECTRONICBOX_TEMPERATURE_DISCONNECTED</v>
      </c>
      <c r="B201" t="str">
        <f>IF(ISBLANK(Sheet1!A201)=TRUE,"",IF(EXACT(Sheet1!W200,Sheet1!W201)=TRUE,"",$Z$1&amp;CHAR(13)&amp;$AA$1&amp;Sheet1!W201&amp;CHAR(13)&amp;$Z$1&amp;CHAR(13))&amp;$W$1&amp;CHAR(13)&amp;$V$1&amp;Sheet1!E201&amp;CHAR(13)&amp;$X$1&amp;CHAR(13)&amp;$A201&amp;" = "&amp;Sheet1!A201&amp;",")</f>
        <v>/// &lt;summary&gt;_x000D_/// 전장반 온도컨트롤러 연결이 끊어졌습니다._x000D_/// &lt;/summary&gt;_x000D_CO_MAIN_ELECTRONICBOX_TEMPERATURE_DISCONNECTED = 30006,</v>
      </c>
    </row>
    <row r="202" spans="1:2" x14ac:dyDescent="0.3">
      <c r="A202" t="str">
        <f>IF(ISBLANK(Sheet1!C202),"",SUBSTITUTE(SUBSTITUTE(SUBSTITUTE(SUBSTITUTE(SUBSTITUTE(Sheet1!C202, " ", "_"), "-", "_"), "&amp;", "_"), "/", "_"), "#", "_"))</f>
        <v>CO_MAIN_PCRACK_TEMPERATURE_DISCONNECTED</v>
      </c>
      <c r="B202" t="str">
        <f>IF(ISBLANK(Sheet1!A202)=TRUE,"",IF(EXACT(Sheet1!W201,Sheet1!W202)=TRUE,"",$Z$1&amp;CHAR(13)&amp;$AA$1&amp;Sheet1!W202&amp;CHAR(13)&amp;$Z$1&amp;CHAR(13))&amp;$W$1&amp;CHAR(13)&amp;$V$1&amp;Sheet1!E202&amp;CHAR(13)&amp;$X$1&amp;CHAR(13)&amp;$A202&amp;" = "&amp;Sheet1!A202&amp;",")</f>
        <v>/// &lt;summary&gt;_x000D_/// PC 랙 온도컨트롤러 연결이 끊어졌습니다._x000D_/// &lt;/summary&gt;_x000D_CO_MAIN_PCRACK_TEMPERATURE_DISCONNECTED = 30007,</v>
      </c>
    </row>
    <row r="203" spans="1:2" x14ac:dyDescent="0.3">
      <c r="A203" t="str">
        <f>IF(ISBLANK(Sheet1!C203),"",SUBSTITUTE(SUBSTITUTE(SUBSTITUTE(SUBSTITUTE(SUBSTITUTE(Sheet1!C203, " ", "_"), "-", "_"), "&amp;", "_"), "/", "_"), "#", "_"))</f>
        <v>OP_MAIN_MODEKEY_N_TEACH</v>
      </c>
      <c r="B203" t="str">
        <f>IF(ISBLANK(Sheet1!A203)=TRUE,"",IF(EXACT(Sheet1!W202,Sheet1!W203)=TRUE,"",$Z$1&amp;CHAR(13)&amp;$AA$1&amp;Sheet1!W203&amp;CHAR(13)&amp;$Z$1&amp;CHAR(13))&amp;$W$1&amp;CHAR(13)&amp;$V$1&amp;Sheet1!E203&amp;CHAR(13)&amp;$X$1&amp;CHAR(13)&amp;$A203&amp;" = "&amp;Sheet1!A203&amp;",")</f>
        <v>/// &lt;summary&gt;_x000D_/// 설비 구동중에 세이프티키가 TEACH로 변경되었습니다_x000D_/// &lt;/summary&gt;_x000D_OP_MAIN_MODEKEY_N_TEACH = 30008,</v>
      </c>
    </row>
    <row r="204" spans="1:2" x14ac:dyDescent="0.3">
      <c r="A204" t="str">
        <f>IF(ISBLANK(Sheet1!C204),"",SUBSTITUTE(SUBSTITUTE(SUBSTITUTE(SUBSTITUTE(SUBSTITUTE(Sheet1!C204, " ", "_"), "-", "_"), "&amp;", "_"), "/", "_"), "#", "_"))</f>
        <v>OP_MAIN_UNIT_ALL_STOP</v>
      </c>
      <c r="B204" t="str">
        <f>IF(ISBLANK(Sheet1!A204)=TRUE,"",IF(EXACT(Sheet1!W203,Sheet1!W204)=TRUE,"",$Z$1&amp;CHAR(13)&amp;$AA$1&amp;Sheet1!W204&amp;CHAR(13)&amp;$Z$1&amp;CHAR(13))&amp;$W$1&amp;CHAR(13)&amp;$V$1&amp;Sheet1!E204&amp;CHAR(13)&amp;$X$1&amp;CHAR(13)&amp;$A204&amp;" = "&amp;Sheet1!A204&amp;",")</f>
        <v>/// &lt;summary&gt;_x000D_/// 설비에 모든 유닛이 정지 상태입니다_x000D_/// &lt;/summary&gt;_x000D_OP_MAIN_UNIT_ALL_STOP = 30009,</v>
      </c>
    </row>
    <row r="205" spans="1:2" x14ac:dyDescent="0.3">
      <c r="A205" t="str">
        <f>IF(ISBLANK(Sheet1!C205),"",SUBSTITUTE(SUBSTITUTE(SUBSTITUTE(SUBSTITUTE(SUBSTITUTE(Sheet1!C205, " ", "_"), "-", "_"), "&amp;", "_"), "/", "_"), "#", "_"))</f>
        <v>VC_MAIN_VACUUM_MAIN_SUPPLY</v>
      </c>
      <c r="B205" t="str">
        <f>IF(ISBLANK(Sheet1!A205)=TRUE,"",IF(EXACT(Sheet1!W204,Sheet1!W205)=TRUE,"",$Z$1&amp;CHAR(13)&amp;$AA$1&amp;Sheet1!W205&amp;CHAR(13)&amp;$Z$1&amp;CHAR(13))&amp;$W$1&amp;CHAR(13)&amp;$V$1&amp;Sheet1!E205&amp;CHAR(13)&amp;$X$1&amp;CHAR(13)&amp;$A205&amp;" = "&amp;Sheet1!A205&amp;",")</f>
        <v>/// &lt;summary&gt;_x000D_/// 메인 진공 공압이 설정 값보다 낮아졌습니다_x000D_/// &lt;/summary&gt;_x000D_VC_MAIN_VACUUM_MAIN_SUPPLY = 30010,</v>
      </c>
    </row>
    <row r="206" spans="1:2" x14ac:dyDescent="0.3">
      <c r="A206" t="str">
        <f>IF(ISBLANK(Sheet1!C206),"",SUBSTITUTE(SUBSTITUTE(SUBSTITUTE(SUBSTITUTE(SUBSTITUTE(Sheet1!C206, " ", "_"), "-", "_"), "&amp;", "_"), "/", "_"), "#", "_"))</f>
        <v>VC_INSP_STAGE_VACUUM_MAIN_SUPPLY</v>
      </c>
      <c r="B206" t="str">
        <f>IF(ISBLANK(Sheet1!A206)=TRUE,"",IF(EXACT(Sheet1!W205,Sheet1!W206)=TRUE,"",$Z$1&amp;CHAR(13)&amp;$AA$1&amp;Sheet1!W206&amp;CHAR(13)&amp;$Z$1&amp;CHAR(13))&amp;$W$1&amp;CHAR(13)&amp;$V$1&amp;Sheet1!E206&amp;CHAR(13)&amp;$X$1&amp;CHAR(13)&amp;$A206&amp;" = "&amp;Sheet1!A206&amp;",")</f>
        <v>/// &lt;summary&gt;_x000D_/// 검사스테이지 메인 진공 공압이 설정 값보다 낮아졌습니다_x000D_/// &lt;/summary&gt;_x000D_VC_INSP_STAGE_VACUUM_MAIN_SUPPLY = 30011,</v>
      </c>
    </row>
    <row r="207" spans="1:2" x14ac:dyDescent="0.3">
      <c r="A207" t="str">
        <f>IF(ISBLANK(Sheet1!C207),"",SUBSTITUTE(SUBSTITUTE(SUBSTITUTE(SUBSTITUTE(SUBSTITUTE(Sheet1!C207, " ", "_"), "-", "_"), "&amp;", "_"), "/", "_"), "#", "_"))</f>
        <v>VC_MAIN_AIR_MAIN_N_SUPPLY</v>
      </c>
      <c r="B207" t="str">
        <f>IF(ISBLANK(Sheet1!A207)=TRUE,"",IF(EXACT(Sheet1!W206,Sheet1!W207)=TRUE,"",$Z$1&amp;CHAR(13)&amp;$AA$1&amp;Sheet1!W207&amp;CHAR(13)&amp;$Z$1&amp;CHAR(13))&amp;$W$1&amp;CHAR(13)&amp;$V$1&amp;Sheet1!E207&amp;CHAR(13)&amp;$X$1&amp;CHAR(13)&amp;$A207&amp;" = "&amp;Sheet1!A207&amp;",")</f>
        <v>/// &lt;summary&gt;_x000D_/// 메인 공압이 설정 값보다 낮아졌습니다_x000D_/// &lt;/summary&gt;_x000D_VC_MAIN_AIR_MAIN_N_SUPPLY = 30012,</v>
      </c>
    </row>
    <row r="208" spans="1:2" x14ac:dyDescent="0.3">
      <c r="A208" t="str">
        <f>IF(ISBLANK(Sheet1!C208),"",SUBSTITUTE(SUBSTITUTE(SUBSTITUTE(SUBSTITUTE(SUBSTITUTE(Sheet1!C208, " ", "_"), "-", "_"), "&amp;", "_"), "/", "_"), "#", "_"))</f>
        <v>UT_MAIN_ELECTRONICBOX_FAN_1_STOP</v>
      </c>
      <c r="B208" t="str">
        <f>IF(ISBLANK(Sheet1!A208)=TRUE,"",IF(EXACT(Sheet1!W207,Sheet1!W208)=TRUE,"",$Z$1&amp;CHAR(13)&amp;$AA$1&amp;Sheet1!W208&amp;CHAR(13)&amp;$Z$1&amp;CHAR(13))&amp;$W$1&amp;CHAR(13)&amp;$V$1&amp;Sheet1!E208&amp;CHAR(13)&amp;$X$1&amp;CHAR(13)&amp;$A208&amp;" = "&amp;Sheet1!A208&amp;",")</f>
        <v>/// &lt;summary&gt;_x000D_/// MAIN 전장반 FAN1이 정지했습니다_x000D_/// &lt;/summary&gt;_x000D_UT_MAIN_ELECTRONICBOX_FAN_1_STOP = 30013,</v>
      </c>
    </row>
    <row r="209" spans="1:2" x14ac:dyDescent="0.3">
      <c r="A209" t="str">
        <f>IF(ISBLANK(Sheet1!C209),"",SUBSTITUTE(SUBSTITUTE(SUBSTITUTE(SUBSTITUTE(SUBSTITUTE(Sheet1!C209, " ", "_"), "-", "_"), "&amp;", "_"), "/", "_"), "#", "_"))</f>
        <v>UT_MAIN_ELECTRONICBOX_FAN_2_STOP</v>
      </c>
      <c r="B209" t="str">
        <f>IF(ISBLANK(Sheet1!A209)=TRUE,"",IF(EXACT(Sheet1!W208,Sheet1!W209)=TRUE,"",$Z$1&amp;CHAR(13)&amp;$AA$1&amp;Sheet1!W209&amp;CHAR(13)&amp;$Z$1&amp;CHAR(13))&amp;$W$1&amp;CHAR(13)&amp;$V$1&amp;Sheet1!E209&amp;CHAR(13)&amp;$X$1&amp;CHAR(13)&amp;$A209&amp;" = "&amp;Sheet1!A209&amp;",")</f>
        <v>/// &lt;summary&gt;_x000D_/// MAIN 전장반 FAN2가 정지했습니다_x000D_/// &lt;/summary&gt;_x000D_UT_MAIN_ELECTRONICBOX_FAN_2_STOP = 30014,</v>
      </c>
    </row>
    <row r="210" spans="1:2" x14ac:dyDescent="0.3">
      <c r="A210" t="str">
        <f>IF(ISBLANK(Sheet1!C210),"",SUBSTITUTE(SUBSTITUTE(SUBSTITUTE(SUBSTITUTE(SUBSTITUTE(Sheet1!C210, " ", "_"), "-", "_"), "&amp;", "_"), "/", "_"), "#", "_"))</f>
        <v>UT_MAIN_MCU_FFU_1_STOP</v>
      </c>
      <c r="B210" t="str">
        <f>IF(ISBLANK(Sheet1!A210)=TRUE,"",IF(EXACT(Sheet1!W209,Sheet1!W210)=TRUE,"",$Z$1&amp;CHAR(13)&amp;$AA$1&amp;Sheet1!W210&amp;CHAR(13)&amp;$Z$1&amp;CHAR(13))&amp;$W$1&amp;CHAR(13)&amp;$V$1&amp;Sheet1!E210&amp;CHAR(13)&amp;$X$1&amp;CHAR(13)&amp;$A210&amp;" = "&amp;Sheet1!A210&amp;",")</f>
        <v>/// &lt;summary&gt;_x000D_/// MAIN MCU 그룹에 FFU#1에 FAN이 정지했습니다_x000D_/// &lt;/summary&gt;_x000D_UT_MAIN_MCU_FFU_1_STOP = 30015,</v>
      </c>
    </row>
    <row r="211" spans="1:2" x14ac:dyDescent="0.3">
      <c r="A211" t="str">
        <f>IF(ISBLANK(Sheet1!C211),"",SUBSTITUTE(SUBSTITUTE(SUBSTITUTE(SUBSTITUTE(SUBSTITUTE(Sheet1!C211, " ", "_"), "-", "_"), "&amp;", "_"), "/", "_"), "#", "_"))</f>
        <v>UT_MAIN_MCU_FFU_1_ALARM_OCCURRED</v>
      </c>
      <c r="B211" t="str">
        <f>IF(ISBLANK(Sheet1!A211)=TRUE,"",IF(EXACT(Sheet1!W210,Sheet1!W211)=TRUE,"",$Z$1&amp;CHAR(13)&amp;$AA$1&amp;Sheet1!W211&amp;CHAR(13)&amp;$Z$1&amp;CHAR(13))&amp;$W$1&amp;CHAR(13)&amp;$V$1&amp;Sheet1!E211&amp;CHAR(13)&amp;$X$1&amp;CHAR(13)&amp;$A211&amp;" = "&amp;Sheet1!A211&amp;",")</f>
        <v>/// &lt;summary&gt;_x000D_/// MAIN MCU 그룹에 FFU#1에 FAN에 알람이 발생했습니다_x000D_/// &lt;/summary&gt;_x000D_UT_MAIN_MCU_FFU_1_ALARM_OCCURRED = 30016,</v>
      </c>
    </row>
    <row r="212" spans="1:2" x14ac:dyDescent="0.3">
      <c r="A212" t="str">
        <f>IF(ISBLANK(Sheet1!C212),"",SUBSTITUTE(SUBSTITUTE(SUBSTITUTE(SUBSTITUTE(SUBSTITUTE(Sheet1!C212, " ", "_"), "-", "_"), "&amp;", "_"), "/", "_"), "#", "_"))</f>
        <v>EM_MAIN_CONTROLPANEL_FRONT_EMS_X000</v>
      </c>
      <c r="B212" t="str">
        <f>IF(ISBLANK(Sheet1!A212)=TRUE,"",IF(EXACT(Sheet1!W211,Sheet1!W212)=TRUE,"",$Z$1&amp;CHAR(13)&amp;$AA$1&amp;Sheet1!W212&amp;CHAR(13)&amp;$Z$1&amp;CHAR(13))&amp;$W$1&amp;CHAR(13)&amp;$V$1&amp;Sheet1!E212&amp;CHAR(13)&amp;$X$1&amp;CHAR(13)&amp;$A212&amp;" = "&amp;Sheet1!A212&amp;",")</f>
        <v>/// &lt;summary&gt;_x000D_/// 정면 비상 정지 버튼#1이 눌렸습니다_x000D_/// &lt;/summary&gt;_x000D_EM_MAIN_CONTROLPANEL_FRONT_EMS_X000 = 30100,</v>
      </c>
    </row>
    <row r="213" spans="1:2" x14ac:dyDescent="0.3">
      <c r="A213" t="str">
        <f>IF(ISBLANK(Sheet1!C213),"",SUBSTITUTE(SUBSTITUTE(SUBSTITUTE(SUBSTITUTE(SUBSTITUTE(Sheet1!C213, " ", "_"), "-", "_"), "&amp;", "_"), "/", "_"), "#", "_"))</f>
        <v>EM_MAIN_CONTROLPANEL_REAR_EMS_X001</v>
      </c>
      <c r="B213" t="str">
        <f>IF(ISBLANK(Sheet1!A213)=TRUE,"",IF(EXACT(Sheet1!W212,Sheet1!W213)=TRUE,"",$Z$1&amp;CHAR(13)&amp;$AA$1&amp;Sheet1!W213&amp;CHAR(13)&amp;$Z$1&amp;CHAR(13))&amp;$W$1&amp;CHAR(13)&amp;$V$1&amp;Sheet1!E213&amp;CHAR(13)&amp;$X$1&amp;CHAR(13)&amp;$A213&amp;" = "&amp;Sheet1!A213&amp;",")</f>
        <v>/// &lt;summary&gt;_x000D_/// 후면 비상 정지 버튼#2이 눌렸습니다_x000D_/// &lt;/summary&gt;_x000D_EM_MAIN_CONTROLPANEL_REAR_EMS_X001 = 30101,</v>
      </c>
    </row>
    <row r="214" spans="1:2" x14ac:dyDescent="0.3">
      <c r="A214" t="str">
        <f>IF(ISBLANK(Sheet1!C214),"",SUBSTITUTE(SUBSTITUTE(SUBSTITUTE(SUBSTITUTE(SUBSTITUTE(Sheet1!C214, " ", "_"), "-", "_"), "&amp;", "_"), "/", "_"), "#", "_"))</f>
        <v>EM_TRANSFER_ROBOT_IN_PENDANT_EMS</v>
      </c>
      <c r="B214" t="str">
        <f>IF(ISBLANK(Sheet1!A214)=TRUE,"",IF(EXACT(Sheet1!W213,Sheet1!W214)=TRUE,"",$Z$1&amp;CHAR(13)&amp;$AA$1&amp;Sheet1!W214&amp;CHAR(13)&amp;$Z$1&amp;CHAR(13))&amp;$W$1&amp;CHAR(13)&amp;$V$1&amp;Sheet1!E214&amp;CHAR(13)&amp;$X$1&amp;CHAR(13)&amp;$A214&amp;" = "&amp;Sheet1!A214&amp;",")</f>
        <v>/// &lt;summary&gt;_x000D_/// IN로봇 팬던트에 비상 정지 버튼이 눌렸습니다_x000D_/// &lt;/summary&gt;_x000D_EM_TRANSFER_ROBOT_IN_PENDANT_EMS = 30102,</v>
      </c>
    </row>
    <row r="215" spans="1:2" x14ac:dyDescent="0.3">
      <c r="A215" t="str">
        <f>IF(ISBLANK(Sheet1!C215),"",SUBSTITUTE(SUBSTITUTE(SUBSTITUTE(SUBSTITUTE(SUBSTITUTE(Sheet1!C215, " ", "_"), "-", "_"), "&amp;", "_"), "/", "_"), "#", "_"))</f>
        <v>EM_TRANSFER_ROBOT_IN_CONTROLLER_EMS</v>
      </c>
      <c r="B215" t="str">
        <f>IF(ISBLANK(Sheet1!A215)=TRUE,"",IF(EXACT(Sheet1!W214,Sheet1!W215)=TRUE,"",$Z$1&amp;CHAR(13)&amp;$AA$1&amp;Sheet1!W215&amp;CHAR(13)&amp;$Z$1&amp;CHAR(13))&amp;$W$1&amp;CHAR(13)&amp;$V$1&amp;Sheet1!E215&amp;CHAR(13)&amp;$X$1&amp;CHAR(13)&amp;$A215&amp;" = "&amp;Sheet1!A215&amp;",")</f>
        <v>/// &lt;summary&gt;_x000D_/// IN로봇 컨트롤러에 비상 정지 버튼이 눌렸습니다_x000D_/// &lt;/summary&gt;_x000D_EM_TRANSFER_ROBOT_IN_CONTROLLER_EMS = 30103,</v>
      </c>
    </row>
    <row r="216" spans="1:2" x14ac:dyDescent="0.3">
      <c r="A216" t="str">
        <f>IF(ISBLANK(Sheet1!C216),"",SUBSTITUTE(SUBSTITUTE(SUBSTITUTE(SUBSTITUTE(SUBSTITUTE(Sheet1!C216, " ", "_"), "-", "_"), "&amp;", "_"), "/", "_"), "#", "_"))</f>
        <v>EM_TRANSFER_ROBOT_OUT_PENDANT_EMS</v>
      </c>
      <c r="B216" t="str">
        <f>IF(ISBLANK(Sheet1!A216)=TRUE,"",IF(EXACT(Sheet1!W215,Sheet1!W216)=TRUE,"",$Z$1&amp;CHAR(13)&amp;$AA$1&amp;Sheet1!W216&amp;CHAR(13)&amp;$Z$1&amp;CHAR(13))&amp;$W$1&amp;CHAR(13)&amp;$V$1&amp;Sheet1!E216&amp;CHAR(13)&amp;$X$1&amp;CHAR(13)&amp;$A216&amp;" = "&amp;Sheet1!A216&amp;",")</f>
        <v>/// &lt;summary&gt;_x000D_/// OUT로봇 팬던트에 비상 정지 버튼이 눌렸습니다_x000D_/// &lt;/summary&gt;_x000D_EM_TRANSFER_ROBOT_OUT_PENDANT_EMS = 30104,</v>
      </c>
    </row>
    <row r="217" spans="1:2" x14ac:dyDescent="0.3">
      <c r="A217" t="str">
        <f>IF(ISBLANK(Sheet1!C217),"",SUBSTITUTE(SUBSTITUTE(SUBSTITUTE(SUBSTITUTE(SUBSTITUTE(Sheet1!C217, " ", "_"), "-", "_"), "&amp;", "_"), "/", "_"), "#", "_"))</f>
        <v>EM_TRANSFER_ROBOT_OUT_CONTROLLER_EMS</v>
      </c>
      <c r="B217" t="str">
        <f>IF(ISBLANK(Sheet1!A217)=TRUE,"",IF(EXACT(Sheet1!W216,Sheet1!W217)=TRUE,"",$Z$1&amp;CHAR(13)&amp;$AA$1&amp;Sheet1!W217&amp;CHAR(13)&amp;$Z$1&amp;CHAR(13))&amp;$W$1&amp;CHAR(13)&amp;$V$1&amp;Sheet1!E217&amp;CHAR(13)&amp;$X$1&amp;CHAR(13)&amp;$A217&amp;" = "&amp;Sheet1!A217&amp;",")</f>
        <v>/// &lt;summary&gt;_x000D_/// OUT로봇 컨트롤러에 비상 정지 버튼이 눌렸습니다_x000D_/// &lt;/summary&gt;_x000D_EM_TRANSFER_ROBOT_OUT_CONTROLLER_EMS = 30105,</v>
      </c>
    </row>
    <row r="218" spans="1:2" x14ac:dyDescent="0.3">
      <c r="A218" t="str">
        <f>IF(ISBLANK(Sheet1!C218),"",SUBSTITUTE(SUBSTITUTE(SUBSTITUTE(SUBSTITUTE(SUBSTITUTE(Sheet1!C218, " ", "_"), "-", "_"), "&amp;", "_"), "/", "_"), "#", "_"))</f>
        <v>DO_MAIN_ANY_DOOR_FORECE_RELEASED_X02A</v>
      </c>
      <c r="B218" t="str">
        <f>IF(ISBLANK(Sheet1!A218)=TRUE,"",IF(EXACT(Sheet1!W217,Sheet1!W218)=TRUE,"",$Z$1&amp;CHAR(13)&amp;$AA$1&amp;Sheet1!W218&amp;CHAR(13)&amp;$Z$1&amp;CHAR(13))&amp;$W$1&amp;CHAR(13)&amp;$V$1&amp;Sheet1!E218&amp;CHAR(13)&amp;$X$1&amp;CHAR(13)&amp;$A218&amp;" = "&amp;Sheet1!A218&amp;",")</f>
        <v>/// &lt;summary&gt;_x000D_/// 도어락이 강제로 해제되었습니다_x000D_/// &lt;/summary&gt;_x000D_DO_MAIN_ANY_DOOR_FORECE_RELEASED_X02A = 30106,</v>
      </c>
    </row>
    <row r="219" spans="1:2" x14ac:dyDescent="0.3">
      <c r="A219" t="str">
        <f>IF(ISBLANK(Sheet1!C219),"",SUBSTITUTE(SUBSTITUTE(SUBSTITUTE(SUBSTITUTE(SUBSTITUTE(Sheet1!C219, " ", "_"), "-", "_"), "&amp;", "_"), "/", "_"), "#", "_"))</f>
        <v>EF_PREFORM4_MAIN_EQUIPMENT_SILENT_STOP</v>
      </c>
      <c r="B219" t="str">
        <f>IF(ISBLANK(Sheet1!A219)=TRUE,"",IF(EXACT(Sheet1!W218,Sheet1!W219)=TRUE,"",$Z$1&amp;CHAR(13)&amp;$AA$1&amp;Sheet1!W219&amp;CHAR(13)&amp;$Z$1&amp;CHAR(13))&amp;$W$1&amp;CHAR(13)&amp;$V$1&amp;Sheet1!E219&amp;CHAR(13)&amp;$X$1&amp;CHAR(13)&amp;$A219&amp;" = "&amp;Sheet1!A219&amp;",")</f>
        <v>//////////////////////////////////////////////////////////////////////////_x000D_// ETC_x000D_//////////////////////////////////////////////////////////////////////////_x000D_/// &lt;summary&gt;_x000D_/// 설비에서 무언 정지가 발생 했습니다_x000D_/// &lt;/summary&gt;_x000D_EF_PREFORM4_MAIN_EQUIPMENT_SILENT_STOP = 40000,</v>
      </c>
    </row>
    <row r="220" spans="1:2" x14ac:dyDescent="0.3">
      <c r="A220" t="str">
        <f>IF(ISBLANK(Sheet1!C220),"",SUBSTITUTE(SUBSTITUTE(SUBSTITUTE(SUBSTITUTE(SUBSTITUTE(Sheet1!C220, " ", "_"), "-", "_"), "&amp;", "_"), "/", "_"), "#", "_"))</f>
        <v>EF_IN_SHUTTLE_CELL_DAMAGED_CHECK</v>
      </c>
      <c r="B220" t="str">
        <f>IF(ISBLANK(Sheet1!A220)=TRUE,"",IF(EXACT(Sheet1!W219,Sheet1!W220)=TRUE,"",$Z$1&amp;CHAR(13)&amp;$AA$1&amp;Sheet1!W220&amp;CHAR(13)&amp;$Z$1&amp;CHAR(13))&amp;$W$1&amp;CHAR(13)&amp;$V$1&amp;Sheet1!E220&amp;CHAR(13)&amp;$X$1&amp;CHAR(13)&amp;$A220&amp;" = "&amp;Sheet1!A220&amp;",")</f>
        <v>/// &lt;summary&gt;_x000D_/// 투입 셔틀 셀의 손상 유무를 확인 하세요_x000D_/// &lt;/summary&gt;_x000D_EF_IN_SHUTTLE_CELL_DAMAGED_CHECK = 40001,</v>
      </c>
    </row>
    <row r="221" spans="1:2" x14ac:dyDescent="0.3">
      <c r="A221" t="str">
        <f>IF(ISBLANK(Sheet1!C221),"",SUBSTITUTE(SUBSTITUTE(SUBSTITUTE(SUBSTITUTE(SUBSTITUTE(Sheet1!C221, " ", "_"), "-", "_"), "&amp;", "_"), "/", "_"), "#", "_"))</f>
        <v>EF_IN_ROBOT_CELL_DAMAGED_CHECK</v>
      </c>
      <c r="B221" t="str">
        <f>IF(ISBLANK(Sheet1!A221)=TRUE,"",IF(EXACT(Sheet1!W220,Sheet1!W221)=TRUE,"",$Z$1&amp;CHAR(13)&amp;$AA$1&amp;Sheet1!W221&amp;CHAR(13)&amp;$Z$1&amp;CHAR(13))&amp;$W$1&amp;CHAR(13)&amp;$V$1&amp;Sheet1!E221&amp;CHAR(13)&amp;$X$1&amp;CHAR(13)&amp;$A221&amp;" = "&amp;Sheet1!A221&amp;",")</f>
        <v>/// &lt;summary&gt;_x000D_/// IN로봇 셀의 손상 유무를 확인 하세요_x000D_/// &lt;/summary&gt;_x000D_EF_IN_ROBOT_CELL_DAMAGED_CHECK = 40002,</v>
      </c>
    </row>
    <row r="222" spans="1:2" x14ac:dyDescent="0.3">
      <c r="A222" t="str">
        <f>IF(ISBLANK(Sheet1!C222),"",SUBSTITUTE(SUBSTITUTE(SUBSTITUTE(SUBSTITUTE(SUBSTITUTE(Sheet1!C222, " ", "_"), "-", "_"), "&amp;", "_"), "/", "_"), "#", "_"))</f>
        <v>EF_INSP_STAGE_CELL_DAMAGED_CHECK</v>
      </c>
      <c r="B222" t="str">
        <f>IF(ISBLANK(Sheet1!A222)=TRUE,"",IF(EXACT(Sheet1!W221,Sheet1!W222)=TRUE,"",$Z$1&amp;CHAR(13)&amp;$AA$1&amp;Sheet1!W222&amp;CHAR(13)&amp;$Z$1&amp;CHAR(13))&amp;$W$1&amp;CHAR(13)&amp;$V$1&amp;Sheet1!E222&amp;CHAR(13)&amp;$X$1&amp;CHAR(13)&amp;$A222&amp;" = "&amp;Sheet1!A222&amp;",")</f>
        <v>/// &lt;summary&gt;_x000D_/// 검사 스테이지 셀의 손상 유무를 확인 하세요_x000D_/// &lt;/summary&gt;_x000D_EF_INSP_STAGE_CELL_DAMAGED_CHECK = 40003,</v>
      </c>
    </row>
    <row r="223" spans="1:2" x14ac:dyDescent="0.3">
      <c r="A223" t="str">
        <f>IF(ISBLANK(Sheet1!C223),"",SUBSTITUTE(SUBSTITUTE(SUBSTITUTE(SUBSTITUTE(SUBSTITUTE(Sheet1!C223, " ", "_"), "-", "_"), "&amp;", "_"), "/", "_"), "#", "_"))</f>
        <v>EF_OUT_ROBOT_CELL_DAMAGED_CHECK</v>
      </c>
      <c r="B223" t="str">
        <f>IF(ISBLANK(Sheet1!A223)=TRUE,"",IF(EXACT(Sheet1!W222,Sheet1!W223)=TRUE,"",$Z$1&amp;CHAR(13)&amp;$AA$1&amp;Sheet1!W223&amp;CHAR(13)&amp;$Z$1&amp;CHAR(13))&amp;$W$1&amp;CHAR(13)&amp;$V$1&amp;Sheet1!E223&amp;CHAR(13)&amp;$X$1&amp;CHAR(13)&amp;$A223&amp;" = "&amp;Sheet1!A223&amp;",")</f>
        <v>/// &lt;summary&gt;_x000D_/// OUT로봇 셀의 손상 유무를 확인 하세요_x000D_/// &lt;/summary&gt;_x000D_EF_OUT_ROBOT_CELL_DAMAGED_CHECK = 40004,</v>
      </c>
    </row>
    <row r="224" spans="1:2" x14ac:dyDescent="0.3">
      <c r="A224" t="str">
        <f>IF(ISBLANK(Sheet1!C224),"",SUBSTITUTE(SUBSTITUTE(SUBSTITUTE(SUBSTITUTE(SUBSTITUTE(Sheet1!C224, " ", "_"), "-", "_"), "&amp;", "_"), "/", "_"), "#", "_"))</f>
        <v>EF_OUT_FLIP_CELL_DAMAGED_CHECK</v>
      </c>
      <c r="B224" t="str">
        <f>IF(ISBLANK(Sheet1!A224)=TRUE,"",IF(EXACT(Sheet1!W223,Sheet1!W224)=TRUE,"",$Z$1&amp;CHAR(13)&amp;$AA$1&amp;Sheet1!W224&amp;CHAR(13)&amp;$Z$1&amp;CHAR(13))&amp;$W$1&amp;CHAR(13)&amp;$V$1&amp;Sheet1!E224&amp;CHAR(13)&amp;$X$1&amp;CHAR(13)&amp;$A224&amp;" = "&amp;Sheet1!A224&amp;",")</f>
        <v>/// &lt;summary&gt;_x000D_/// OUT플립 셀의 손상 유무를 확인 하세요_x000D_/// &lt;/summary&gt;_x000D_EF_OUT_FLIP_CELL_DAMAGED_CHECK = 40005,</v>
      </c>
    </row>
    <row r="225" spans="1:2" x14ac:dyDescent="0.3">
      <c r="A225" t="str">
        <f>IF(ISBLANK(Sheet1!C225),"",SUBSTITUTE(SUBSTITUTE(SUBSTITUTE(SUBSTITUTE(SUBSTITUTE(Sheet1!C225, " ", "_"), "-", "_"), "&amp;", "_"), "/", "_"), "#", "_"))</f>
        <v/>
      </c>
      <c r="B225" t="str">
        <f>IF(ISBLANK(Sheet1!A225)=TRUE,"",IF(EXACT(Sheet1!W224,Sheet1!W225)=TRUE,"",$Z$1&amp;CHAR(13)&amp;$AA$1&amp;Sheet1!W225&amp;CHAR(13)&amp;$Z$1&amp;CHAR(13))&amp;$W$1&amp;CHAR(13)&amp;$V$1&amp;Sheet1!E225&amp;CHAR(13)&amp;$X$1&amp;CHAR(13)&amp;$A225&amp;" = "&amp;Sheet1!A225&amp;",")</f>
        <v/>
      </c>
    </row>
    <row r="226" spans="1:2" x14ac:dyDescent="0.3">
      <c r="A226" t="str">
        <f>IF(ISBLANK(Sheet1!C226),"",SUBSTITUTE(SUBSTITUTE(SUBSTITUTE(SUBSTITUTE(SUBSTITUTE(Sheet1!C226, " ", "_"), "-", "_"), "&amp;", "_"), "/", "_"), "#", "_"))</f>
        <v/>
      </c>
      <c r="B226" t="str">
        <f>IF(ISBLANK(Sheet1!A226)=TRUE,"",IF(EXACT(Sheet1!W225,Sheet1!W226)=TRUE,"",$Z$1&amp;CHAR(13)&amp;$AA$1&amp;Sheet1!W226&amp;CHAR(13)&amp;$Z$1&amp;CHAR(13))&amp;$W$1&amp;CHAR(13)&amp;$V$1&amp;Sheet1!E226&amp;CHAR(13)&amp;$X$1&amp;CHAR(13)&amp;$A226&amp;" = "&amp;Sheet1!A226&amp;",")</f>
        <v/>
      </c>
    </row>
    <row r="227" spans="1:2" x14ac:dyDescent="0.3">
      <c r="B227" t="str">
        <f>IF(ISBLANK(Sheet1!A226)=TRUE,"",IF(EXACT(Sheet1!W225,Sheet1!W226)=TRUE,"",$Z$1&amp;CHAR(13)&amp;$AA$1&amp;Sheet1!W226&amp;CHAR(13)&amp;$Z$1&amp;CHAR(13))&amp;$W$1&amp;CHAR(13)&amp;$V$1&amp;Sheet1!E226&amp;CHAR(13)&amp;$X$1&amp;CHAR(13)&amp;$A227&amp;" = "&amp;Sheet1!A226&amp;",")</f>
        <v/>
      </c>
    </row>
    <row r="228" spans="1:2" x14ac:dyDescent="0.3">
      <c r="B228" t="str">
        <f>IF(ISBLANK(Sheet1!A227)=TRUE,"",IF(EXACT(Sheet1!W226,Sheet1!W227)=TRUE,"",$Z$1&amp;CHAR(13)&amp;$AA$1&amp;Sheet1!W227&amp;CHAR(13)&amp;$Z$1&amp;CHAR(13))&amp;$W$1&amp;CHAR(13)&amp;$V$1&amp;Sheet1!E227&amp;CHAR(13)&amp;$X$1&amp;CHAR(13)&amp;$A228&amp;" = "&amp;Sheet1!A227&amp;",")</f>
        <v/>
      </c>
    </row>
    <row r="229" spans="1:2" x14ac:dyDescent="0.3">
      <c r="B229"/>
    </row>
    <row r="230" spans="1:2" x14ac:dyDescent="0.3">
      <c r="B230"/>
    </row>
    <row r="231" spans="1:2" x14ac:dyDescent="0.3">
      <c r="B231"/>
    </row>
    <row r="232" spans="1:2" x14ac:dyDescent="0.3">
      <c r="B232"/>
    </row>
    <row r="233" spans="1:2" x14ac:dyDescent="0.3">
      <c r="B233"/>
    </row>
    <row r="234" spans="1:2" x14ac:dyDescent="0.3">
      <c r="B234"/>
    </row>
    <row r="235" spans="1:2" x14ac:dyDescent="0.3">
      <c r="B235"/>
    </row>
    <row r="236" spans="1:2" x14ac:dyDescent="0.3">
      <c r="B236"/>
    </row>
    <row r="237" spans="1:2" x14ac:dyDescent="0.3">
      <c r="B237"/>
    </row>
    <row r="238" spans="1:2" x14ac:dyDescent="0.3">
      <c r="B238"/>
    </row>
    <row r="239" spans="1:2" x14ac:dyDescent="0.3">
      <c r="B239"/>
    </row>
    <row r="240" spans="1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</sheetData>
  <phoneticPr fontId="1" type="noConversion"/>
  <pageMargins left="0.7" right="0.7" top="0.75" bottom="0.75" header="0.3" footer="0.3"/>
  <pageSetup paperSize="9" orientation="portrait" r:id="rId1"/>
  <rowBreaks count="1" manualBreakCount="1">
    <brk id="1" max="16383" man="1"/>
  </rowBreaks>
  <colBreaks count="1" manualBreakCount="1">
    <brk id="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zoomScaleNormal="100" workbookViewId="0">
      <pane ySplit="1" topLeftCell="A2" activePane="bottomLeft" state="frozen"/>
      <selection activeCell="D36" sqref="D36"/>
      <selection pane="bottomLeft" activeCell="G12" sqref="G12"/>
    </sheetView>
  </sheetViews>
  <sheetFormatPr defaultRowHeight="16.5" x14ac:dyDescent="0.3"/>
  <cols>
    <col min="4" max="4" width="68" bestFit="1" customWidth="1"/>
    <col min="5" max="5" width="18.5" bestFit="1" customWidth="1"/>
    <col min="6" max="6" width="26.125" bestFit="1" customWidth="1"/>
  </cols>
  <sheetData>
    <row r="1" spans="1:7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 x14ac:dyDescent="0.3">
      <c r="A2">
        <f>IF(B2=" "," ",ROW(A2)-1)</f>
        <v>1</v>
      </c>
      <c r="B2">
        <f>Sheet1!A2</f>
        <v>10000</v>
      </c>
      <c r="C2">
        <f>IF(Sheet1!U2="HEAVY",2,1)</f>
        <v>2</v>
      </c>
      <c r="D2" t="str">
        <f>Sheet1!C2</f>
        <v>EM_UPPER_EQUIPMENT_N_EMERGENCY_STATE</v>
      </c>
      <c r="E2" t="s">
        <v>105</v>
      </c>
      <c r="F2" t="str">
        <f>Sheet1!W2</f>
        <v>LOAD_EQ_TO_EQ</v>
      </c>
      <c r="G2" t="str">
        <f>Sheet1!E2</f>
        <v>상류설비에서 EMERGENCY가 발생했습니다</v>
      </c>
    </row>
    <row r="3" spans="1:7" x14ac:dyDescent="0.3">
      <c r="A3">
        <f t="shared" ref="A3:A66" si="0">IF(B3=" "," ",ROW(A3)-1)</f>
        <v>2</v>
      </c>
      <c r="B3">
        <f>Sheet1!A3</f>
        <v>10001</v>
      </c>
      <c r="C3">
        <f>IF(Sheet1!U3="HEAVY",2,1)</f>
        <v>1</v>
      </c>
      <c r="D3" t="str">
        <f>Sheet1!C3</f>
        <v>EM_UPPER_EQUIPMENT_DOOR_OPEN</v>
      </c>
      <c r="E3" t="s">
        <v>105</v>
      </c>
      <c r="F3" t="str">
        <f>Sheet1!W3</f>
        <v>LOAD_EQ_TO_EQ</v>
      </c>
      <c r="G3" t="str">
        <f>Sheet1!E3</f>
        <v>상류설비에 DOOR가 열렸습니다</v>
      </c>
    </row>
    <row r="4" spans="1:7" x14ac:dyDescent="0.3">
      <c r="A4">
        <f t="shared" si="0"/>
        <v>3</v>
      </c>
      <c r="B4">
        <f>Sheet1!A4</f>
        <v>10500</v>
      </c>
      <c r="C4">
        <f>IF(Sheet1!U4="HEAVY",2,1)</f>
        <v>2</v>
      </c>
      <c r="D4" t="str">
        <f>Sheet1!C4</f>
        <v>MO_IN_SHUTTLE_X1_HOME_MOTION</v>
      </c>
      <c r="E4" t="s">
        <v>105</v>
      </c>
      <c r="F4" t="str">
        <f>Sheet1!W4</f>
        <v>IN_SHUTTLE</v>
      </c>
      <c r="G4" t="str">
        <f>Sheet1!E4</f>
        <v>IN셔틀 X1축이 홈 동작 진행에 실패 했습니다</v>
      </c>
    </row>
    <row r="5" spans="1:7" x14ac:dyDescent="0.3">
      <c r="A5">
        <f t="shared" si="0"/>
        <v>4</v>
      </c>
      <c r="B5">
        <f>Sheet1!A5</f>
        <v>10501</v>
      </c>
      <c r="C5">
        <f>IF(Sheet1!U5="HEAVY",2,1)</f>
        <v>2</v>
      </c>
      <c r="D5" t="str">
        <f>Sheet1!C5</f>
        <v>MO_IN_SHUTTLE_X1_LOAD_MOVE</v>
      </c>
      <c r="E5" t="s">
        <v>105</v>
      </c>
      <c r="F5" t="str">
        <f>Sheet1!W5</f>
        <v>IN_SHUTTLE</v>
      </c>
      <c r="G5" t="str">
        <f>Sheet1!E5</f>
        <v>IN셔틀 X1축 로드 위치 이동에 실패 했습니다 (상류설비 위치)</v>
      </c>
    </row>
    <row r="6" spans="1:7" x14ac:dyDescent="0.3">
      <c r="A6">
        <f t="shared" si="0"/>
        <v>5</v>
      </c>
      <c r="B6">
        <f>Sheet1!A6</f>
        <v>10502</v>
      </c>
      <c r="C6">
        <f>IF(Sheet1!U6="HEAVY",2,1)</f>
        <v>2</v>
      </c>
      <c r="D6" t="str">
        <f>Sheet1!C6</f>
        <v>MO_IN_SHUTTLE_X1_SCAN_START_WAIT_MOVE</v>
      </c>
      <c r="E6" t="s">
        <v>105</v>
      </c>
      <c r="F6" t="str">
        <f>Sheet1!W6</f>
        <v>IN_SHUTTLE</v>
      </c>
      <c r="G6" t="str">
        <f>Sheet1!E6</f>
        <v>IN셔틀 X1축 스캔 시작 대기 위치 이동에 실패 했습니다</v>
      </c>
    </row>
    <row r="7" spans="1:7" x14ac:dyDescent="0.3">
      <c r="A7">
        <f t="shared" si="0"/>
        <v>6</v>
      </c>
      <c r="B7">
        <f>Sheet1!A7</f>
        <v>10503</v>
      </c>
      <c r="C7">
        <f>IF(Sheet1!U7="HEAVY",2,1)</f>
        <v>2</v>
      </c>
      <c r="D7" t="str">
        <f>Sheet1!C7</f>
        <v>MO_IN_SHUTTLE_X1_SCAN_TRIGGER_START_MOVE</v>
      </c>
      <c r="E7" t="s">
        <v>105</v>
      </c>
      <c r="F7" t="str">
        <f>Sheet1!W7</f>
        <v>IN_SHUTTLE</v>
      </c>
      <c r="G7" t="str">
        <f>Sheet1!E7</f>
        <v>IN셔틀 X1축 스캔 트리거 시작 위치 이동에 실패 했습니다</v>
      </c>
    </row>
    <row r="8" spans="1:7" x14ac:dyDescent="0.3">
      <c r="A8">
        <f t="shared" si="0"/>
        <v>7</v>
      </c>
      <c r="B8">
        <f>Sheet1!A8</f>
        <v>10504</v>
      </c>
      <c r="C8">
        <f>IF(Sheet1!U8="HEAVY",2,1)</f>
        <v>2</v>
      </c>
      <c r="D8" t="str">
        <f>Sheet1!C8</f>
        <v>MO_IN_SHUTTLE_X1_SCAN_TRIGGER_END_MOVE</v>
      </c>
      <c r="E8" t="s">
        <v>105</v>
      </c>
      <c r="F8" t="str">
        <f>Sheet1!W8</f>
        <v>IN_SHUTTLE</v>
      </c>
      <c r="G8" t="str">
        <f>Sheet1!E8</f>
        <v>IN셔틀 X1축 스캔 트리거 종료 위치 이동에 실패 했습니다</v>
      </c>
    </row>
    <row r="9" spans="1:7" x14ac:dyDescent="0.3">
      <c r="A9">
        <f t="shared" si="0"/>
        <v>8</v>
      </c>
      <c r="B9">
        <f>Sheet1!A9</f>
        <v>10505</v>
      </c>
      <c r="C9">
        <f>IF(Sheet1!U9="HEAVY",2,1)</f>
        <v>2</v>
      </c>
      <c r="D9" t="str">
        <f>Sheet1!C9</f>
        <v>MO_IN_SHUTTLE_X1_ALIGN_MOVE</v>
      </c>
      <c r="E9" t="s">
        <v>105</v>
      </c>
      <c r="F9" t="str">
        <f>Sheet1!W9</f>
        <v>IN_SHUTTLE</v>
      </c>
      <c r="G9" t="str">
        <f>Sheet1!E9</f>
        <v>IN셔틀 X1축 얼라인 위치 이동에 실패 했습니다</v>
      </c>
    </row>
    <row r="10" spans="1:7" x14ac:dyDescent="0.3">
      <c r="A10">
        <f t="shared" si="0"/>
        <v>9</v>
      </c>
      <c r="B10">
        <f>Sheet1!A10</f>
        <v>10506</v>
      </c>
      <c r="C10">
        <f>IF(Sheet1!U10="HEAVY",2,1)</f>
        <v>2</v>
      </c>
      <c r="D10" t="str">
        <f>Sheet1!C10</f>
        <v>MO_IN_SHUTTLE_X1_UNLOAD_MOVE</v>
      </c>
      <c r="E10" t="s">
        <v>105</v>
      </c>
      <c r="F10" t="str">
        <f>Sheet1!W10</f>
        <v>IN_SHUTTLE</v>
      </c>
      <c r="G10" t="str">
        <f>Sheet1!E10</f>
        <v>IN셔틀 X1축 언로드 위치 이동에 실패 했습니다 (IN로봇 위치)</v>
      </c>
    </row>
    <row r="11" spans="1:7" x14ac:dyDescent="0.3">
      <c r="A11">
        <f t="shared" si="0"/>
        <v>10</v>
      </c>
      <c r="B11">
        <f>Sheet1!A11</f>
        <v>10600</v>
      </c>
      <c r="C11">
        <f>IF(Sheet1!U11="HEAVY",2,1)</f>
        <v>2</v>
      </c>
      <c r="D11" t="str">
        <f>Sheet1!C11</f>
        <v>VC_IN_SHUTTLE_P1_VACUUM</v>
      </c>
      <c r="E11" t="s">
        <v>105</v>
      </c>
      <c r="F11" t="str">
        <f>Sheet1!W11</f>
        <v>IN_SHUTTLE</v>
      </c>
      <c r="G11" t="str">
        <f>Sheet1!E11</f>
        <v>IN셔틀 P1 진공 흡착에 실패 했습니다</v>
      </c>
    </row>
    <row r="12" spans="1:7" x14ac:dyDescent="0.3">
      <c r="A12">
        <f t="shared" si="0"/>
        <v>11</v>
      </c>
      <c r="B12">
        <f>Sheet1!A12</f>
        <v>10601</v>
      </c>
      <c r="C12">
        <f>IF(Sheet1!U12="HEAVY",2,1)</f>
        <v>2</v>
      </c>
      <c r="D12" t="str">
        <f>Sheet1!C12</f>
        <v>VC_IN_SHUTTLE_P1_BLOW</v>
      </c>
      <c r="E12" t="s">
        <v>105</v>
      </c>
      <c r="F12" t="str">
        <f>Sheet1!W12</f>
        <v>IN_SHUTTLE</v>
      </c>
      <c r="G12" t="str">
        <f>Sheet1!E12</f>
        <v>IN셔틀 P1 진공 파기에 실패 했습니다</v>
      </c>
    </row>
    <row r="13" spans="1:7" x14ac:dyDescent="0.3">
      <c r="A13">
        <f t="shared" si="0"/>
        <v>12</v>
      </c>
      <c r="B13">
        <f>Sheet1!A13</f>
        <v>10602</v>
      </c>
      <c r="C13">
        <f>IF(Sheet1!U13="HEAVY",2,1)</f>
        <v>2</v>
      </c>
      <c r="D13" t="str">
        <f>Sheet1!C13</f>
        <v>SE_IN_SHUTTLE_P1_VACUUM_CHECK</v>
      </c>
      <c r="E13" t="s">
        <v>105</v>
      </c>
      <c r="F13" t="str">
        <f>Sheet1!W13</f>
        <v>IN_SHUTTLE</v>
      </c>
      <c r="G13" t="str">
        <f>Sheet1!E13</f>
        <v>IN셔틀 P1 셀 확인에 실패 했습니다 (진공)</v>
      </c>
    </row>
    <row r="14" spans="1:7" x14ac:dyDescent="0.3">
      <c r="A14">
        <f t="shared" si="0"/>
        <v>13</v>
      </c>
      <c r="B14">
        <f>Sheet1!A14</f>
        <v>10603</v>
      </c>
      <c r="C14">
        <f>IF(Sheet1!U14="HEAVY",2,1)</f>
        <v>2</v>
      </c>
      <c r="D14" t="str">
        <f>Sheet1!C14</f>
        <v>SE_IN_SHUTTLE_P1_SENSOR_CHECK</v>
      </c>
      <c r="E14" t="s">
        <v>105</v>
      </c>
      <c r="F14" t="str">
        <f>Sheet1!W14</f>
        <v>IN_SHUTTLE</v>
      </c>
      <c r="G14" t="str">
        <f>Sheet1!E14</f>
        <v>IN셔틀 P1 셀 확인에 실패 했습니다 (센서)</v>
      </c>
    </row>
    <row r="15" spans="1:7" x14ac:dyDescent="0.3">
      <c r="A15">
        <f t="shared" si="0"/>
        <v>14</v>
      </c>
      <c r="B15">
        <f>Sheet1!A15</f>
        <v>10604</v>
      </c>
      <c r="C15">
        <f>IF(Sheet1!U15="HEAVY",2,1)</f>
        <v>2</v>
      </c>
      <c r="D15" t="str">
        <f>Sheet1!C15</f>
        <v>SE_IN_SHUTTLE_P1_VACUUM_OVERLAP</v>
      </c>
      <c r="E15" t="s">
        <v>105</v>
      </c>
      <c r="F15" t="str">
        <f>Sheet1!W15</f>
        <v>IN_SHUTTLE</v>
      </c>
      <c r="G15" t="str">
        <f>Sheet1!E15</f>
        <v>IN셔틀 P1 셀 겹침 확인되었습니다 (진공)</v>
      </c>
    </row>
    <row r="16" spans="1:7" x14ac:dyDescent="0.3">
      <c r="A16">
        <f t="shared" si="0"/>
        <v>15</v>
      </c>
      <c r="B16">
        <f>Sheet1!A16</f>
        <v>10605</v>
      </c>
      <c r="C16">
        <f>IF(Sheet1!U16="HEAVY",2,1)</f>
        <v>2</v>
      </c>
      <c r="D16" t="str">
        <f>Sheet1!C16</f>
        <v>SE_IN_SHUTTLE_P1_SENSOR_OVERLAP</v>
      </c>
      <c r="E16" t="s">
        <v>105</v>
      </c>
      <c r="F16" t="str">
        <f>Sheet1!W16</f>
        <v>IN_SHUTTLE</v>
      </c>
      <c r="G16" t="str">
        <f>Sheet1!E16</f>
        <v>IN셔틀 P1 셀 겹침 확인되었습니다 (센서)</v>
      </c>
    </row>
    <row r="17" spans="1:7" x14ac:dyDescent="0.3">
      <c r="A17">
        <f t="shared" si="0"/>
        <v>16</v>
      </c>
      <c r="B17">
        <f>Sheet1!A17</f>
        <v>10610</v>
      </c>
      <c r="C17">
        <f>IF(Sheet1!U17="HEAVY",2,1)</f>
        <v>2</v>
      </c>
      <c r="D17" t="str">
        <f>Sheet1!C17</f>
        <v>VC_IN_SHUTTLE_P2_VACUUM</v>
      </c>
      <c r="E17" t="s">
        <v>105</v>
      </c>
      <c r="F17" t="str">
        <f>Sheet1!W17</f>
        <v>IN_SHUTTLE</v>
      </c>
      <c r="G17" t="str">
        <f>Sheet1!E17</f>
        <v>IN셔틀 P2 진공 흡착에 실패 했습니다</v>
      </c>
    </row>
    <row r="18" spans="1:7" x14ac:dyDescent="0.3">
      <c r="A18">
        <f t="shared" si="0"/>
        <v>17</v>
      </c>
      <c r="B18">
        <f>Sheet1!A18</f>
        <v>10611</v>
      </c>
      <c r="C18">
        <f>IF(Sheet1!U18="HEAVY",2,1)</f>
        <v>2</v>
      </c>
      <c r="D18" t="str">
        <f>Sheet1!C18</f>
        <v>VC_IN_SHUTTLE_P2_BLOW</v>
      </c>
      <c r="E18" t="s">
        <v>105</v>
      </c>
      <c r="F18" t="str">
        <f>Sheet1!W18</f>
        <v>IN_SHUTTLE</v>
      </c>
      <c r="G18" t="str">
        <f>Sheet1!E18</f>
        <v>IN셔틀 P2 진공 파기에 실패 했습니다</v>
      </c>
    </row>
    <row r="19" spans="1:7" x14ac:dyDescent="0.3">
      <c r="A19">
        <f t="shared" si="0"/>
        <v>18</v>
      </c>
      <c r="B19">
        <f>Sheet1!A19</f>
        <v>10612</v>
      </c>
      <c r="C19">
        <f>IF(Sheet1!U19="HEAVY",2,1)</f>
        <v>2</v>
      </c>
      <c r="D19" t="str">
        <f>Sheet1!C19</f>
        <v>SE_IN_SHUTTLE_P2_VACUUM_CHECK</v>
      </c>
      <c r="E19" t="s">
        <v>105</v>
      </c>
      <c r="F19" t="str">
        <f>Sheet1!W19</f>
        <v>IN_SHUTTLE</v>
      </c>
      <c r="G19" t="str">
        <f>Sheet1!E19</f>
        <v>IN셔틀 P2 셀 확인에 실패 했습니다 (진공)</v>
      </c>
    </row>
    <row r="20" spans="1:7" x14ac:dyDescent="0.3">
      <c r="A20">
        <f t="shared" si="0"/>
        <v>19</v>
      </c>
      <c r="B20">
        <f>Sheet1!A20</f>
        <v>10613</v>
      </c>
      <c r="C20">
        <f>IF(Sheet1!U20="HEAVY",2,1)</f>
        <v>2</v>
      </c>
      <c r="D20" t="str">
        <f>Sheet1!C20</f>
        <v>SE_IN_SHUTTLE_P2_SENSOR_CHECK</v>
      </c>
      <c r="E20" t="s">
        <v>105</v>
      </c>
      <c r="F20" t="str">
        <f>Sheet1!W20</f>
        <v>IN_SHUTTLE</v>
      </c>
      <c r="G20" t="str">
        <f>Sheet1!E20</f>
        <v>IN셔틀 P2 셀 확인에 실패 했습니다 (센서)</v>
      </c>
    </row>
    <row r="21" spans="1:7" x14ac:dyDescent="0.3">
      <c r="A21">
        <f t="shared" si="0"/>
        <v>20</v>
      </c>
      <c r="B21">
        <f>Sheet1!A21</f>
        <v>10614</v>
      </c>
      <c r="C21">
        <f>IF(Sheet1!U21="HEAVY",2,1)</f>
        <v>2</v>
      </c>
      <c r="D21" t="str">
        <f>Sheet1!C21</f>
        <v>SE_IN_SHUTTLE_P2_VACUUM_OVERLAP</v>
      </c>
      <c r="E21" t="s">
        <v>105</v>
      </c>
      <c r="F21" t="str">
        <f>Sheet1!W21</f>
        <v>IN_SHUTTLE</v>
      </c>
      <c r="G21" t="str">
        <f>Sheet1!E21</f>
        <v>IN셔틀 P2 셀 겹침 확인되었습니다 (진공)</v>
      </c>
    </row>
    <row r="22" spans="1:7" x14ac:dyDescent="0.3">
      <c r="A22">
        <f t="shared" si="0"/>
        <v>21</v>
      </c>
      <c r="B22">
        <f>Sheet1!A22</f>
        <v>10615</v>
      </c>
      <c r="C22">
        <f>IF(Sheet1!U22="HEAVY",2,1)</f>
        <v>2</v>
      </c>
      <c r="D22" t="str">
        <f>Sheet1!C22</f>
        <v>SE_IN_SHUTTLE_P2_SENSOR_OVERLAP</v>
      </c>
      <c r="E22" t="s">
        <v>105</v>
      </c>
      <c r="F22" t="str">
        <f>Sheet1!W22</f>
        <v>IN_SHUTTLE</v>
      </c>
      <c r="G22" t="str">
        <f>Sheet1!E22</f>
        <v>IN셔틀 P2 셀 겹침 확인되었습니다 (센서)</v>
      </c>
    </row>
    <row r="23" spans="1:7" x14ac:dyDescent="0.3">
      <c r="A23">
        <f t="shared" si="0"/>
        <v>22</v>
      </c>
      <c r="B23">
        <f>Sheet1!A23</f>
        <v>11000</v>
      </c>
      <c r="C23">
        <f>IF(Sheet1!U23="HEAVY",2,1)</f>
        <v>2</v>
      </c>
      <c r="D23" t="str">
        <f>Sheet1!C23</f>
        <v>MO_TRANSFER_ROBOT_IN_N_INITIALIZE</v>
      </c>
      <c r="E23" t="s">
        <v>105</v>
      </c>
      <c r="F23" t="str">
        <f>Sheet1!W23</f>
        <v>IN_ROBOT</v>
      </c>
      <c r="G23" t="str">
        <f>Sheet1!E23</f>
        <v>IN로봇 초기화 동작에 실패 했습니다</v>
      </c>
    </row>
    <row r="24" spans="1:7" x14ac:dyDescent="0.3">
      <c r="A24">
        <f t="shared" si="0"/>
        <v>23</v>
      </c>
      <c r="B24">
        <f>Sheet1!A24</f>
        <v>11001</v>
      </c>
      <c r="C24">
        <f>IF(Sheet1!U24="HEAVY",2,1)</f>
        <v>2</v>
      </c>
      <c r="D24" t="str">
        <f>Sheet1!C24</f>
        <v>MO_TRANSFER_ROBOT_IN_PROCESS_SKIP</v>
      </c>
      <c r="E24" t="s">
        <v>105</v>
      </c>
      <c r="F24" t="str">
        <f>Sheet1!W24</f>
        <v>IN_ROBOT</v>
      </c>
      <c r="G24" t="str">
        <f>Sheet1!E24</f>
        <v>IN로봇 동작중인 프로세스 스킵에 실패 했습니다</v>
      </c>
    </row>
    <row r="25" spans="1:7" x14ac:dyDescent="0.3">
      <c r="A25">
        <f t="shared" si="0"/>
        <v>24</v>
      </c>
      <c r="B25">
        <f>Sheet1!A25</f>
        <v>11002</v>
      </c>
      <c r="C25">
        <f>IF(Sheet1!U25="HEAVY",2,1)</f>
        <v>2</v>
      </c>
      <c r="D25" t="str">
        <f>Sheet1!C25</f>
        <v>MO_TRANSFER_ROBOT_IN_ENTER_JCM_MODE</v>
      </c>
      <c r="E25" t="s">
        <v>105</v>
      </c>
      <c r="F25" t="str">
        <f>Sheet1!W25</f>
        <v>IN_ROBOT</v>
      </c>
      <c r="G25" t="str">
        <f>Sheet1!E25</f>
        <v xml:space="preserve">IN로봇 JCM 모드 진입(ENTER)에 실패 했습니다. </v>
      </c>
    </row>
    <row r="26" spans="1:7" x14ac:dyDescent="0.3">
      <c r="A26">
        <f t="shared" si="0"/>
        <v>25</v>
      </c>
      <c r="B26">
        <f>Sheet1!A26</f>
        <v>11003</v>
      </c>
      <c r="C26">
        <f>IF(Sheet1!U26="HEAVY",2,1)</f>
        <v>2</v>
      </c>
      <c r="D26" t="str">
        <f>Sheet1!C26</f>
        <v>MO_TRANSFER_ROBOT_IN_JCM_MODE_MOVE</v>
      </c>
      <c r="E26" t="s">
        <v>105</v>
      </c>
      <c r="F26" t="str">
        <f>Sheet1!W26</f>
        <v>IN_ROBOT</v>
      </c>
      <c r="G26" t="str">
        <f>Sheet1!E26</f>
        <v>IN로봇 JCM 모드 이동(MOVE)에 실패 했습니다.</v>
      </c>
    </row>
    <row r="27" spans="1:7" x14ac:dyDescent="0.3">
      <c r="A27">
        <f t="shared" si="0"/>
        <v>26</v>
      </c>
      <c r="B27">
        <f>Sheet1!A27</f>
        <v>11004</v>
      </c>
      <c r="C27">
        <f>IF(Sheet1!U27="HEAVY",2,1)</f>
        <v>2</v>
      </c>
      <c r="D27" t="str">
        <f>Sheet1!C27</f>
        <v>MO_TRANSFER_ROBOT_IN_EXIT_JCM_MODE</v>
      </c>
      <c r="E27" t="s">
        <v>105</v>
      </c>
      <c r="F27" t="str">
        <f>Sheet1!W27</f>
        <v>IN_ROBOT</v>
      </c>
      <c r="G27" t="str">
        <f>Sheet1!E27</f>
        <v xml:space="preserve">IN로봇 JCM 모드 출입(EXIT)에 실패 했습니다. </v>
      </c>
    </row>
    <row r="28" spans="1:7" x14ac:dyDescent="0.3">
      <c r="A28">
        <f t="shared" si="0"/>
        <v>27</v>
      </c>
      <c r="B28">
        <f>Sheet1!A28</f>
        <v>11005</v>
      </c>
      <c r="C28">
        <f>IF(Sheet1!U28="HEAVY",2,1)</f>
        <v>2</v>
      </c>
      <c r="D28" t="str">
        <f>Sheet1!C28</f>
        <v>MO_TRANSFER_ROBOT_IN_LOAD_BEGIN</v>
      </c>
      <c r="E28" t="s">
        <v>105</v>
      </c>
      <c r="F28" t="str">
        <f>Sheet1!W28</f>
        <v>IN_ROBOT</v>
      </c>
      <c r="G28" t="str">
        <f>Sheet1!E28</f>
        <v>IN로봇 로드 프로세스 진입에 실패 했습니다 (IN셔틀 위치)</v>
      </c>
    </row>
    <row r="29" spans="1:7" x14ac:dyDescent="0.3">
      <c r="A29">
        <f t="shared" si="0"/>
        <v>28</v>
      </c>
      <c r="B29">
        <f>Sheet1!A29</f>
        <v>11006</v>
      </c>
      <c r="C29">
        <f>IF(Sheet1!U29="HEAVY",2,1)</f>
        <v>2</v>
      </c>
      <c r="D29" t="str">
        <f>Sheet1!C29</f>
        <v>MO_TRANSFER_ROBOT_IN_LOAD_PERMIT</v>
      </c>
      <c r="E29" t="s">
        <v>105</v>
      </c>
      <c r="F29" t="str">
        <f>Sheet1!W29</f>
        <v>IN_ROBOT</v>
      </c>
      <c r="G29" t="str">
        <f>Sheet1!E29</f>
        <v>IN로봇 로드 프로세스 퍼밋 동작에 실패 했습니다 (IN셔틀 위치)</v>
      </c>
    </row>
    <row r="30" spans="1:7" x14ac:dyDescent="0.3">
      <c r="A30">
        <f t="shared" si="0"/>
        <v>29</v>
      </c>
      <c r="B30">
        <f>Sheet1!A30</f>
        <v>11007</v>
      </c>
      <c r="C30">
        <f>IF(Sheet1!U30="HEAVY",2,1)</f>
        <v>2</v>
      </c>
      <c r="D30" t="str">
        <f>Sheet1!C30</f>
        <v>MO_TRANSFER_ROBOT_IN_LOAD_EXIT</v>
      </c>
      <c r="E30" t="s">
        <v>105</v>
      </c>
      <c r="F30" t="str">
        <f>Sheet1!W30</f>
        <v>IN_ROBOT</v>
      </c>
      <c r="G30" t="str">
        <f>Sheet1!E30</f>
        <v>IN로봇 로트 프로세스 종료에 실패 했습니다 (IN셔틀 위치)</v>
      </c>
    </row>
    <row r="31" spans="1:7" x14ac:dyDescent="0.3">
      <c r="A31">
        <f t="shared" si="0"/>
        <v>30</v>
      </c>
      <c r="B31">
        <f>Sheet1!A31</f>
        <v>11008</v>
      </c>
      <c r="C31">
        <f>IF(Sheet1!U31="HEAVY",2,1)</f>
        <v>2</v>
      </c>
      <c r="D31" t="str">
        <f>Sheet1!C31</f>
        <v>MO_TRANSFER_ROBOT_IN_MCR_BEGIN</v>
      </c>
      <c r="E31" t="s">
        <v>105</v>
      </c>
      <c r="F31" t="str">
        <f>Sheet1!W31</f>
        <v>IN_ROBOT</v>
      </c>
      <c r="G31" t="str">
        <f>Sheet1!E31</f>
        <v>IN로봇 MCR 프로세스 진입에 실패 했습니다</v>
      </c>
    </row>
    <row r="32" spans="1:7" x14ac:dyDescent="0.3">
      <c r="A32">
        <f t="shared" si="0"/>
        <v>31</v>
      </c>
      <c r="B32">
        <f>Sheet1!A32</f>
        <v>11009</v>
      </c>
      <c r="C32">
        <f>IF(Sheet1!U32="HEAVY",2,1)</f>
        <v>2</v>
      </c>
      <c r="D32" t="str">
        <f>Sheet1!C32</f>
        <v>MO_TRANSFER_ROBOT_IN_MCR_PERMIT</v>
      </c>
      <c r="E32" t="s">
        <v>105</v>
      </c>
      <c r="F32" t="str">
        <f>Sheet1!W32</f>
        <v>IN_ROBOT</v>
      </c>
      <c r="G32" t="str">
        <f>Sheet1!E32</f>
        <v>IN로봇 MCR 프로세스 퍼밋 동작에 실패 했습니다</v>
      </c>
    </row>
    <row r="33" spans="1:7" x14ac:dyDescent="0.3">
      <c r="A33">
        <f t="shared" si="0"/>
        <v>32</v>
      </c>
      <c r="B33">
        <f>Sheet1!A33</f>
        <v>11010</v>
      </c>
      <c r="C33">
        <f>IF(Sheet1!U33="HEAVY",2,1)</f>
        <v>2</v>
      </c>
      <c r="D33" t="str">
        <f>Sheet1!C33</f>
        <v>MO_TRANSFER_ROBOT_IN_MCR_EXIT</v>
      </c>
      <c r="E33" t="s">
        <v>105</v>
      </c>
      <c r="F33" t="str">
        <f>Sheet1!W33</f>
        <v>IN_ROBOT</v>
      </c>
      <c r="G33" t="str">
        <f>Sheet1!E33</f>
        <v>IN로봇 MCR 프로세스 종료에 실패 했습니다</v>
      </c>
    </row>
    <row r="34" spans="1:7" x14ac:dyDescent="0.3">
      <c r="A34">
        <f t="shared" si="0"/>
        <v>33</v>
      </c>
      <c r="B34">
        <f>Sheet1!A34</f>
        <v>11011</v>
      </c>
      <c r="C34">
        <f>IF(Sheet1!U34="HEAVY",2,1)</f>
        <v>2</v>
      </c>
      <c r="D34" t="str">
        <f>Sheet1!C34</f>
        <v>MO_TRANSFER_ROBOT_IN_UNLOAD_BEGIN</v>
      </c>
      <c r="E34" t="s">
        <v>105</v>
      </c>
      <c r="F34" t="str">
        <f>Sheet1!W34</f>
        <v>IN_ROBOT</v>
      </c>
      <c r="G34" t="str">
        <f>Sheet1!E34</f>
        <v>IN로봇 언로드 프로세스 진입에 실패 했습니다 (검사스테이지 위치)</v>
      </c>
    </row>
    <row r="35" spans="1:7" x14ac:dyDescent="0.3">
      <c r="A35">
        <f t="shared" si="0"/>
        <v>34</v>
      </c>
      <c r="B35">
        <f>Sheet1!A35</f>
        <v>11012</v>
      </c>
      <c r="C35">
        <f>IF(Sheet1!U35="HEAVY",2,1)</f>
        <v>2</v>
      </c>
      <c r="D35" t="str">
        <f>Sheet1!C35</f>
        <v>MO_TRANSFER_ROBOT_IN_UNLOAD_PERMIT</v>
      </c>
      <c r="E35" t="s">
        <v>105</v>
      </c>
      <c r="F35" t="str">
        <f>Sheet1!W35</f>
        <v>IN_ROBOT</v>
      </c>
      <c r="G35" t="str">
        <f>Sheet1!E35</f>
        <v>IN로봇 언로드 프로세스 퍼밋 동작에 실패 했습니다 (검사스테이지 위치)</v>
      </c>
    </row>
    <row r="36" spans="1:7" x14ac:dyDescent="0.3">
      <c r="A36">
        <f t="shared" si="0"/>
        <v>35</v>
      </c>
      <c r="B36">
        <f>Sheet1!A36</f>
        <v>11013</v>
      </c>
      <c r="C36">
        <f>IF(Sheet1!U36="HEAVY",2,1)</f>
        <v>2</v>
      </c>
      <c r="D36" t="str">
        <f>Sheet1!C36</f>
        <v>MO_TRANSFER_ROBOT_IN_UNLOAD_EXIT</v>
      </c>
      <c r="E36" t="s">
        <v>105</v>
      </c>
      <c r="F36" t="str">
        <f>Sheet1!W36</f>
        <v>IN_ROBOT</v>
      </c>
      <c r="G36" t="str">
        <f>Sheet1!E36</f>
        <v>IN로봇 언로드 프로세스 종료에 실패 했습니다 (검사스테이지 위치)</v>
      </c>
    </row>
    <row r="37" spans="1:7" x14ac:dyDescent="0.3">
      <c r="A37">
        <f t="shared" si="0"/>
        <v>36</v>
      </c>
      <c r="B37">
        <f>Sheet1!A37</f>
        <v>11100</v>
      </c>
      <c r="C37">
        <f>IF(Sheet1!U37="HEAVY",2,1)</f>
        <v>2</v>
      </c>
      <c r="D37" t="str">
        <f>Sheet1!C37</f>
        <v>CY_TRANSFER_ROBOT_IN_P1_T_TURN</v>
      </c>
      <c r="E37" t="s">
        <v>105</v>
      </c>
      <c r="F37" t="str">
        <f>Sheet1!W37</f>
        <v>IN_ROBOT</v>
      </c>
      <c r="G37" t="str">
        <f>Sheet1!E37</f>
        <v>IN로봇 실린더 P1 회전 동작에 실패 했습니다</v>
      </c>
    </row>
    <row r="38" spans="1:7" x14ac:dyDescent="0.3">
      <c r="A38">
        <f t="shared" si="0"/>
        <v>37</v>
      </c>
      <c r="B38">
        <f>Sheet1!A38</f>
        <v>11101</v>
      </c>
      <c r="C38">
        <f>IF(Sheet1!U38="HEAVY",2,1)</f>
        <v>2</v>
      </c>
      <c r="D38" t="str">
        <f>Sheet1!C38</f>
        <v>CY_TRANSFER_ROBOT_IN_P1_T_RETURN</v>
      </c>
      <c r="E38" t="s">
        <v>105</v>
      </c>
      <c r="F38" t="str">
        <f>Sheet1!W38</f>
        <v>IN_ROBOT</v>
      </c>
      <c r="G38" t="str">
        <f>Sheet1!E38</f>
        <v>IN로봇 실린더 P1 복귀 동작에 실패 했습니다</v>
      </c>
    </row>
    <row r="39" spans="1:7" x14ac:dyDescent="0.3">
      <c r="A39">
        <f t="shared" si="0"/>
        <v>38</v>
      </c>
      <c r="B39">
        <f>Sheet1!A39</f>
        <v>11110</v>
      </c>
      <c r="C39">
        <f>IF(Sheet1!U39="HEAVY",2,1)</f>
        <v>2</v>
      </c>
      <c r="D39" t="str">
        <f>Sheet1!C39</f>
        <v>CY_TRANSFER_ROBOT_IN_P2_T_TURN</v>
      </c>
      <c r="E39" t="s">
        <v>105</v>
      </c>
      <c r="F39" t="str">
        <f>Sheet1!W39</f>
        <v>IN_ROBOT</v>
      </c>
      <c r="G39" t="str">
        <f>Sheet1!E39</f>
        <v>IN로봇 실린더 P2 회전 동작에 실패 했습니다</v>
      </c>
    </row>
    <row r="40" spans="1:7" x14ac:dyDescent="0.3">
      <c r="A40">
        <f t="shared" si="0"/>
        <v>39</v>
      </c>
      <c r="B40">
        <f>Sheet1!A40</f>
        <v>11111</v>
      </c>
      <c r="C40">
        <f>IF(Sheet1!U40="HEAVY",2,1)</f>
        <v>2</v>
      </c>
      <c r="D40" t="str">
        <f>Sheet1!C40</f>
        <v>CY_TRANSFER_ROBOT_IN_P2_T_RETURN</v>
      </c>
      <c r="E40" t="s">
        <v>105</v>
      </c>
      <c r="F40" t="str">
        <f>Sheet1!W40</f>
        <v>IN_ROBOT</v>
      </c>
      <c r="G40" t="str">
        <f>Sheet1!E40</f>
        <v>IN로봇 실린더 P2 복귀 동작에 실패 했습니다</v>
      </c>
    </row>
    <row r="41" spans="1:7" x14ac:dyDescent="0.3">
      <c r="A41">
        <f t="shared" si="0"/>
        <v>40</v>
      </c>
      <c r="B41">
        <f>Sheet1!A41</f>
        <v>11120</v>
      </c>
      <c r="C41">
        <f>IF(Sheet1!U41="HEAVY",2,1)</f>
        <v>2</v>
      </c>
      <c r="D41" t="str">
        <f>Sheet1!C41</f>
        <v>VC_TRANSFER_ROBOT_IN_P1_VACUUM</v>
      </c>
      <c r="E41" t="s">
        <v>105</v>
      </c>
      <c r="F41" t="str">
        <f>Sheet1!W41</f>
        <v>IN_ROBOT</v>
      </c>
      <c r="G41" t="str">
        <f>Sheet1!E41</f>
        <v>IN로봇 피커 P1 흡착에 실패 했습니다</v>
      </c>
    </row>
    <row r="42" spans="1:7" x14ac:dyDescent="0.3">
      <c r="A42">
        <f t="shared" si="0"/>
        <v>41</v>
      </c>
      <c r="B42">
        <f>Sheet1!A42</f>
        <v>11121</v>
      </c>
      <c r="C42">
        <f>IF(Sheet1!U42="HEAVY",2,1)</f>
        <v>2</v>
      </c>
      <c r="D42" t="str">
        <f>Sheet1!C42</f>
        <v>VC_TRANSFER_ROBOT_IN_P1_BLOW</v>
      </c>
      <c r="E42" t="s">
        <v>105</v>
      </c>
      <c r="F42" t="str">
        <f>Sheet1!W42</f>
        <v>IN_ROBOT</v>
      </c>
      <c r="G42" t="str">
        <f>Sheet1!E42</f>
        <v>IN로봇 피커 P1 파기에 실패 했습니다</v>
      </c>
    </row>
    <row r="43" spans="1:7" x14ac:dyDescent="0.3">
      <c r="A43">
        <f t="shared" si="0"/>
        <v>42</v>
      </c>
      <c r="B43">
        <f>Sheet1!A43</f>
        <v>11122</v>
      </c>
      <c r="C43">
        <f>IF(Sheet1!U43="HEAVY",2,1)</f>
        <v>2</v>
      </c>
      <c r="D43" t="str">
        <f>Sheet1!C43</f>
        <v>SE_TRANSFER_ROBOT_IN_P1_VACUUM_CHECK</v>
      </c>
      <c r="E43" t="s">
        <v>105</v>
      </c>
      <c r="F43" t="str">
        <f>Sheet1!W43</f>
        <v>IN_ROBOT</v>
      </c>
      <c r="G43" t="str">
        <f>Sheet1!E43</f>
        <v>IN로봇 P1 셀 확인에 실패 했습니다 (진공)</v>
      </c>
    </row>
    <row r="44" spans="1:7" x14ac:dyDescent="0.3">
      <c r="A44">
        <f t="shared" si="0"/>
        <v>43</v>
      </c>
      <c r="B44">
        <f>Sheet1!A44</f>
        <v>11123</v>
      </c>
      <c r="C44">
        <f>IF(Sheet1!U44="HEAVY",2,1)</f>
        <v>2</v>
      </c>
      <c r="D44" t="str">
        <f>Sheet1!C44</f>
        <v>SE_TRANSFER_ROBOT_IN_P1_SENSOR_CHECK</v>
      </c>
      <c r="E44" t="s">
        <v>105</v>
      </c>
      <c r="F44" t="str">
        <f>Sheet1!W44</f>
        <v>IN_ROBOT</v>
      </c>
      <c r="G44" t="str">
        <f>Sheet1!E44</f>
        <v>IN로봇 P1 셀 확인에 실패 했습니다 (센서)</v>
      </c>
    </row>
    <row r="45" spans="1:7" x14ac:dyDescent="0.3">
      <c r="A45">
        <f t="shared" si="0"/>
        <v>44</v>
      </c>
      <c r="B45">
        <f>Sheet1!A45</f>
        <v>11124</v>
      </c>
      <c r="C45">
        <f>IF(Sheet1!U45="HEAVY",2,1)</f>
        <v>2</v>
      </c>
      <c r="D45" t="str">
        <f>Sheet1!C45</f>
        <v>SE_TRANSFER_ROBOT_IN_P1_VACUUM_OVERLAP</v>
      </c>
      <c r="E45" t="s">
        <v>105</v>
      </c>
      <c r="F45" t="str">
        <f>Sheet1!W45</f>
        <v>IN_ROBOT</v>
      </c>
      <c r="G45" t="str">
        <f>Sheet1!E45</f>
        <v>IN로봇 P1 셀 겹침 확인되었습니다 (진공)</v>
      </c>
    </row>
    <row r="46" spans="1:7" x14ac:dyDescent="0.3">
      <c r="A46">
        <f t="shared" si="0"/>
        <v>45</v>
      </c>
      <c r="B46">
        <f>Sheet1!A46</f>
        <v>11125</v>
      </c>
      <c r="C46">
        <f>IF(Sheet1!U46="HEAVY",2,1)</f>
        <v>2</v>
      </c>
      <c r="D46" t="str">
        <f>Sheet1!C46</f>
        <v>SE_TRANSFER_ROBOT_IN_P1_SENSOR_OVERLAP</v>
      </c>
      <c r="E46" t="s">
        <v>105</v>
      </c>
      <c r="F46" t="str">
        <f>Sheet1!W46</f>
        <v>IN_ROBOT</v>
      </c>
      <c r="G46" t="str">
        <f>Sheet1!E46</f>
        <v>IN로봇 P1 셀 겹침 확인되었습니다 (센서)</v>
      </c>
    </row>
    <row r="47" spans="1:7" x14ac:dyDescent="0.3">
      <c r="A47">
        <f t="shared" si="0"/>
        <v>46</v>
      </c>
      <c r="B47">
        <f>Sheet1!A47</f>
        <v>11130</v>
      </c>
      <c r="C47">
        <f>IF(Sheet1!U47="HEAVY",2,1)</f>
        <v>2</v>
      </c>
      <c r="D47" t="str">
        <f>Sheet1!C47</f>
        <v>VC_TRANSFER_ROBOT_IN_P2_VACUUM</v>
      </c>
      <c r="E47" t="s">
        <v>105</v>
      </c>
      <c r="F47" t="str">
        <f>Sheet1!W47</f>
        <v>IN_ROBOT</v>
      </c>
      <c r="G47" t="str">
        <f>Sheet1!E47</f>
        <v>IN로봇 피커 P2 흡착에 실패 했습니다</v>
      </c>
    </row>
    <row r="48" spans="1:7" x14ac:dyDescent="0.3">
      <c r="A48">
        <f t="shared" si="0"/>
        <v>47</v>
      </c>
      <c r="B48">
        <f>Sheet1!A48</f>
        <v>11131</v>
      </c>
      <c r="C48">
        <f>IF(Sheet1!U48="HEAVY",2,1)</f>
        <v>2</v>
      </c>
      <c r="D48" t="str">
        <f>Sheet1!C48</f>
        <v>VC_TRANSFER_ROBOT_IN_P2_BLOW</v>
      </c>
      <c r="E48" t="s">
        <v>105</v>
      </c>
      <c r="F48" t="str">
        <f>Sheet1!W48</f>
        <v>IN_ROBOT</v>
      </c>
      <c r="G48" t="str">
        <f>Sheet1!E48</f>
        <v>IN로봇 피커 P2 파기에 실패 했습니다</v>
      </c>
    </row>
    <row r="49" spans="1:7" x14ac:dyDescent="0.3">
      <c r="A49">
        <f t="shared" si="0"/>
        <v>48</v>
      </c>
      <c r="B49">
        <f>Sheet1!A49</f>
        <v>11132</v>
      </c>
      <c r="C49">
        <f>IF(Sheet1!U49="HEAVY",2,1)</f>
        <v>2</v>
      </c>
      <c r="D49" t="str">
        <f>Sheet1!C49</f>
        <v>SE_TRANSFER_ROBOT_IN_P2_VACUUM_CHECK</v>
      </c>
      <c r="E49" t="s">
        <v>105</v>
      </c>
      <c r="F49" t="str">
        <f>Sheet1!W49</f>
        <v>IN_ROBOT</v>
      </c>
      <c r="G49" t="str">
        <f>Sheet1!E49</f>
        <v>IN로봇 P2 셀 확인에 실패 했습니다 (진공)</v>
      </c>
    </row>
    <row r="50" spans="1:7" x14ac:dyDescent="0.3">
      <c r="A50">
        <f t="shared" si="0"/>
        <v>49</v>
      </c>
      <c r="B50">
        <f>Sheet1!A50</f>
        <v>11133</v>
      </c>
      <c r="C50">
        <f>IF(Sheet1!U50="HEAVY",2,1)</f>
        <v>2</v>
      </c>
      <c r="D50" t="str">
        <f>Sheet1!C50</f>
        <v>SE_TRANSFER_ROBOT_IN_P2_SENSOR_CHECK</v>
      </c>
      <c r="E50" t="s">
        <v>105</v>
      </c>
      <c r="F50" t="str">
        <f>Sheet1!W50</f>
        <v>IN_ROBOT</v>
      </c>
      <c r="G50" t="str">
        <f>Sheet1!E50</f>
        <v>IN로봇 P2 셀 확인에 실패 했습니다 (센서)</v>
      </c>
    </row>
    <row r="51" spans="1:7" x14ac:dyDescent="0.3">
      <c r="A51">
        <f t="shared" si="0"/>
        <v>50</v>
      </c>
      <c r="B51">
        <f>Sheet1!A51</f>
        <v>11134</v>
      </c>
      <c r="C51">
        <f>IF(Sheet1!U51="HEAVY",2,1)</f>
        <v>2</v>
      </c>
      <c r="D51" t="str">
        <f>Sheet1!C51</f>
        <v>SE_TRANSFER_ROBOT_IN_P2_VACUUM_OVERLAP</v>
      </c>
      <c r="E51" t="s">
        <v>105</v>
      </c>
      <c r="F51" t="str">
        <f>Sheet1!W51</f>
        <v>IN_ROBOT</v>
      </c>
      <c r="G51" t="str">
        <f>Sheet1!E51</f>
        <v>IN로봇 P2 셀 겹침 확인되었습니다 (진공)</v>
      </c>
    </row>
    <row r="52" spans="1:7" x14ac:dyDescent="0.3">
      <c r="A52">
        <f t="shared" si="0"/>
        <v>51</v>
      </c>
      <c r="B52">
        <f>Sheet1!A52</f>
        <v>11135</v>
      </c>
      <c r="C52">
        <f>IF(Sheet1!U52="HEAVY",2,1)</f>
        <v>2</v>
      </c>
      <c r="D52" t="str">
        <f>Sheet1!C52</f>
        <v>SE_TRANSFER_ROBOT_IN_P2_SENSOR_OVERLAP</v>
      </c>
      <c r="E52" t="s">
        <v>105</v>
      </c>
      <c r="F52" t="str">
        <f>Sheet1!W52</f>
        <v>IN_ROBOT</v>
      </c>
      <c r="G52" t="str">
        <f>Sheet1!E52</f>
        <v>IN로봇 P2 셀 겹침 확인되었습니다 (센서)</v>
      </c>
    </row>
    <row r="53" spans="1:7" x14ac:dyDescent="0.3">
      <c r="A53">
        <f t="shared" si="0"/>
        <v>52</v>
      </c>
      <c r="B53">
        <f>Sheet1!A53</f>
        <v>11400</v>
      </c>
      <c r="C53">
        <f>IF(Sheet1!U53="HEAVY",2,1)</f>
        <v>2</v>
      </c>
      <c r="D53" t="str">
        <f>Sheet1!C53</f>
        <v>CO_TRANSFER_ROBOT_IN_ALIGN_DATA</v>
      </c>
      <c r="E53" t="s">
        <v>105</v>
      </c>
      <c r="F53" t="str">
        <f>Sheet1!W53</f>
        <v>IN_ROBOT</v>
      </c>
      <c r="G53" t="str">
        <f>Sheet1!E53</f>
        <v>IN로봇 얼라인 데이터 전송에 실패 했습니다</v>
      </c>
    </row>
    <row r="54" spans="1:7" x14ac:dyDescent="0.3">
      <c r="A54">
        <f t="shared" si="0"/>
        <v>53</v>
      </c>
      <c r="B54">
        <f>Sheet1!A54</f>
        <v>11401</v>
      </c>
      <c r="C54">
        <f>IF(Sheet1!U54="HEAVY",2,1)</f>
        <v>2</v>
      </c>
      <c r="D54" t="str">
        <f>Sheet1!C54</f>
        <v>CO_TRANSFER_ROBOT_IN_RESET_DATA</v>
      </c>
      <c r="E54" t="s">
        <v>105</v>
      </c>
      <c r="F54" t="str">
        <f>Sheet1!W54</f>
        <v>IN_ROBOT</v>
      </c>
      <c r="G54" t="str">
        <f>Sheet1!E54</f>
        <v>IN로봇 얼라인 초기화 데이터 전송에 실패 했습니다</v>
      </c>
    </row>
    <row r="55" spans="1:7" x14ac:dyDescent="0.3">
      <c r="A55">
        <f t="shared" si="0"/>
        <v>54</v>
      </c>
      <c r="B55">
        <f>Sheet1!A55</f>
        <v>11402</v>
      </c>
      <c r="C55">
        <f>IF(Sheet1!U55="HEAVY",2,1)</f>
        <v>2</v>
      </c>
      <c r="D55" t="str">
        <f>Sheet1!C55</f>
        <v>CO_TRANSFER_ROBOT_IN_CALIBRATION_DATA</v>
      </c>
      <c r="E55" t="s">
        <v>105</v>
      </c>
      <c r="F55" t="str">
        <f>Sheet1!W55</f>
        <v>IN_ROBOT</v>
      </c>
      <c r="G55" t="str">
        <f>Sheet1!E55</f>
        <v>IN로봇 켈리브레이션 데이터 전송에 실패 했습니다</v>
      </c>
    </row>
    <row r="56" spans="1:7" x14ac:dyDescent="0.3">
      <c r="A56">
        <f t="shared" si="0"/>
        <v>55</v>
      </c>
      <c r="B56">
        <f>Sheet1!A56</f>
        <v>11500</v>
      </c>
      <c r="C56">
        <f>IF(Sheet1!U56="HEAVY",2,1)</f>
        <v>2</v>
      </c>
      <c r="D56" t="str">
        <f>Sheet1!C56</f>
        <v>MO_INSP_STAGE_Y_HOME_MOTION</v>
      </c>
      <c r="E56" t="s">
        <v>105</v>
      </c>
      <c r="F56" t="str">
        <f>Sheet1!W56</f>
        <v>INSPECTION_STAGE</v>
      </c>
      <c r="G56" t="str">
        <f>Sheet1!E56</f>
        <v>검사스테이지 Y축이 홈 동작 진행에 실패 했습니다</v>
      </c>
    </row>
    <row r="57" spans="1:7" x14ac:dyDescent="0.3">
      <c r="A57">
        <f t="shared" si="0"/>
        <v>56</v>
      </c>
      <c r="B57">
        <f>Sheet1!A57</f>
        <v>11501</v>
      </c>
      <c r="C57">
        <f>IF(Sheet1!U57="HEAVY",2,1)</f>
        <v>2</v>
      </c>
      <c r="D57" t="str">
        <f>Sheet1!C57</f>
        <v>MO_INSP_STAGE_Y_LOAD_MOVE</v>
      </c>
      <c r="E57" t="s">
        <v>105</v>
      </c>
      <c r="F57" t="str">
        <f>Sheet1!W57</f>
        <v>INSPECTION_STAGE</v>
      </c>
      <c r="G57" t="str">
        <f>Sheet1!E57</f>
        <v>검사스테이지 Y축 로드 위치 이동에 실패 했습니다 (IN로봇 위치)</v>
      </c>
    </row>
    <row r="58" spans="1:7" x14ac:dyDescent="0.3">
      <c r="A58">
        <f t="shared" si="0"/>
        <v>57</v>
      </c>
      <c r="B58">
        <f>Sheet1!A58</f>
        <v>11502</v>
      </c>
      <c r="C58">
        <f>IF(Sheet1!U58="HEAVY",2,1)</f>
        <v>2</v>
      </c>
      <c r="D58" t="str">
        <f>Sheet1!C58</f>
        <v>MO_INSP_STAGE_Y_GRAB_P1_MOVE</v>
      </c>
      <c r="E58" t="s">
        <v>105</v>
      </c>
      <c r="F58" t="str">
        <f>Sheet1!W58</f>
        <v>INSPECTION_STAGE</v>
      </c>
      <c r="G58" t="str">
        <f>Sheet1!E58</f>
        <v>검사스테이지 Y축 P1 촬상 위치 이동에 실패 했습니다</v>
      </c>
    </row>
    <row r="59" spans="1:7" x14ac:dyDescent="0.3">
      <c r="A59">
        <f t="shared" si="0"/>
        <v>58</v>
      </c>
      <c r="B59">
        <f>Sheet1!A59</f>
        <v>11503</v>
      </c>
      <c r="C59">
        <f>IF(Sheet1!U59="HEAVY",2,1)</f>
        <v>2</v>
      </c>
      <c r="D59" t="str">
        <f>Sheet1!C59</f>
        <v>MO_INSP_STAGE_Y_GRAB_P2_MOVE</v>
      </c>
      <c r="E59" t="s">
        <v>105</v>
      </c>
      <c r="F59" t="str">
        <f>Sheet1!W59</f>
        <v>INSPECTION_STAGE</v>
      </c>
      <c r="G59" t="str">
        <f>Sheet1!E59</f>
        <v>검사스테이지 Y축 P2 촬상 위치 이동에 실패 했습니다</v>
      </c>
    </row>
    <row r="60" spans="1:7" x14ac:dyDescent="0.3">
      <c r="A60">
        <f t="shared" si="0"/>
        <v>59</v>
      </c>
      <c r="B60">
        <f>Sheet1!A60</f>
        <v>11504</v>
      </c>
      <c r="C60">
        <f>IF(Sheet1!U60="HEAVY",2,1)</f>
        <v>2</v>
      </c>
      <c r="D60" t="str">
        <f>Sheet1!C60</f>
        <v>MO_INSP_STAGE_Y_UNLOAD_MOVE</v>
      </c>
      <c r="E60" t="s">
        <v>105</v>
      </c>
      <c r="F60" t="str">
        <f>Sheet1!W60</f>
        <v>INSPECTION_STAGE</v>
      </c>
      <c r="G60" t="str">
        <f>Sheet1!E60</f>
        <v>검사스테이지 Y축 언로드 위치 이동에 실패 했습니다 (OUT로봇 위치)</v>
      </c>
    </row>
    <row r="61" spans="1:7" x14ac:dyDescent="0.3">
      <c r="A61">
        <f t="shared" si="0"/>
        <v>60</v>
      </c>
      <c r="B61">
        <f>Sheet1!A61</f>
        <v>11600</v>
      </c>
      <c r="C61">
        <f>IF(Sheet1!U61="HEAVY",2,1)</f>
        <v>2</v>
      </c>
      <c r="D61" t="str">
        <f>Sheet1!C61</f>
        <v>VC_INSP_STAGE_P1_VACUUM</v>
      </c>
      <c r="E61" t="s">
        <v>105</v>
      </c>
      <c r="F61" t="str">
        <f>Sheet1!W61</f>
        <v>INSPECTION_STAGE</v>
      </c>
      <c r="G61" t="str">
        <f>Sheet1!E61</f>
        <v>검사스테이지 P1 진공 흡착에 실패 했습니다</v>
      </c>
    </row>
    <row r="62" spans="1:7" x14ac:dyDescent="0.3">
      <c r="A62">
        <f t="shared" si="0"/>
        <v>61</v>
      </c>
      <c r="B62">
        <f>Sheet1!A62</f>
        <v>11601</v>
      </c>
      <c r="C62">
        <f>IF(Sheet1!U62="HEAVY",2,1)</f>
        <v>2</v>
      </c>
      <c r="D62" t="str">
        <f>Sheet1!C62</f>
        <v>VC_INSP_STAGE_P1_BLOW</v>
      </c>
      <c r="E62" t="s">
        <v>105</v>
      </c>
      <c r="F62" t="str">
        <f>Sheet1!W62</f>
        <v>INSPECTION_STAGE</v>
      </c>
      <c r="G62" t="str">
        <f>Sheet1!E62</f>
        <v>검사스테이지 P1 진공 파기에 실패 했습니다</v>
      </c>
    </row>
    <row r="63" spans="1:7" x14ac:dyDescent="0.3">
      <c r="A63">
        <f t="shared" si="0"/>
        <v>62</v>
      </c>
      <c r="B63">
        <f>Sheet1!A63</f>
        <v>11602</v>
      </c>
      <c r="C63">
        <f>IF(Sheet1!U63="HEAVY",2,1)</f>
        <v>2</v>
      </c>
      <c r="D63" t="str">
        <f>Sheet1!C63</f>
        <v>SE_INSP_STAGE_P1_VACUUM_CHECK</v>
      </c>
      <c r="E63" t="s">
        <v>105</v>
      </c>
      <c r="F63" t="str">
        <f>Sheet1!W63</f>
        <v>INSPECTION_STAGE</v>
      </c>
      <c r="G63" t="str">
        <f>Sheet1!E63</f>
        <v>검사스테이지 P1 셀 확인에 실패 했습니다 (진공)</v>
      </c>
    </row>
    <row r="64" spans="1:7" x14ac:dyDescent="0.3">
      <c r="A64">
        <f t="shared" si="0"/>
        <v>63</v>
      </c>
      <c r="B64">
        <f>Sheet1!A64</f>
        <v>11603</v>
      </c>
      <c r="C64">
        <f>IF(Sheet1!U64="HEAVY",2,1)</f>
        <v>2</v>
      </c>
      <c r="D64" t="str">
        <f>Sheet1!C64</f>
        <v>SE_INSP_STAGE_P1_SENSOR_CHECK</v>
      </c>
      <c r="E64" t="s">
        <v>105</v>
      </c>
      <c r="F64" t="str">
        <f>Sheet1!W64</f>
        <v>INSPECTION_STAGE</v>
      </c>
      <c r="G64" t="str">
        <f>Sheet1!E64</f>
        <v>검사스테이지 P1 셀 확인에 실패 했습니다 (센서)</v>
      </c>
    </row>
    <row r="65" spans="1:7" x14ac:dyDescent="0.3">
      <c r="A65">
        <f t="shared" si="0"/>
        <v>64</v>
      </c>
      <c r="B65">
        <f>Sheet1!A65</f>
        <v>11604</v>
      </c>
      <c r="C65">
        <f>IF(Sheet1!U65="HEAVY",2,1)</f>
        <v>2</v>
      </c>
      <c r="D65" t="str">
        <f>Sheet1!C65</f>
        <v>SE_INSP_STAGE_P1_VACUUM_OVERLAP</v>
      </c>
      <c r="E65" t="s">
        <v>105</v>
      </c>
      <c r="F65" t="str">
        <f>Sheet1!W65</f>
        <v>INSPECTION_STAGE</v>
      </c>
      <c r="G65" t="str">
        <f>Sheet1!E65</f>
        <v>검사스테이지 P1 셀 겹침 확인되었습니다 (진공)</v>
      </c>
    </row>
    <row r="66" spans="1:7" x14ac:dyDescent="0.3">
      <c r="A66">
        <f t="shared" si="0"/>
        <v>65</v>
      </c>
      <c r="B66">
        <f>Sheet1!A66</f>
        <v>11605</v>
      </c>
      <c r="C66">
        <f>IF(Sheet1!U66="HEAVY",2,1)</f>
        <v>2</v>
      </c>
      <c r="D66" t="str">
        <f>Sheet1!C66</f>
        <v>SE_INSP_STAGE_P1_SENSOR_OVERLAP</v>
      </c>
      <c r="E66" t="s">
        <v>105</v>
      </c>
      <c r="F66" t="str">
        <f>Sheet1!W66</f>
        <v>INSPECTION_STAGE</v>
      </c>
      <c r="G66" t="str">
        <f>Sheet1!E66</f>
        <v>검사스테이지 P1 셀 겹침 확인되었습니다 (센서)</v>
      </c>
    </row>
    <row r="67" spans="1:7" x14ac:dyDescent="0.3">
      <c r="A67">
        <f t="shared" ref="A67:A130" si="1">IF(B67=" "," ",ROW(A67)-1)</f>
        <v>66</v>
      </c>
      <c r="B67">
        <f>Sheet1!A67</f>
        <v>11610</v>
      </c>
      <c r="C67">
        <f>IF(Sheet1!U67="HEAVY",2,1)</f>
        <v>2</v>
      </c>
      <c r="D67" t="str">
        <f>Sheet1!C67</f>
        <v>VC_INSP_STAGE_P2_VACUUM</v>
      </c>
      <c r="E67" t="s">
        <v>105</v>
      </c>
      <c r="F67" t="str">
        <f>Sheet1!W67</f>
        <v>INSPECTION_STAGE</v>
      </c>
      <c r="G67" t="str">
        <f>Sheet1!E67</f>
        <v>검사스테이지 P2 진공 흡착에 실패 했습니다</v>
      </c>
    </row>
    <row r="68" spans="1:7" x14ac:dyDescent="0.3">
      <c r="A68">
        <f t="shared" si="1"/>
        <v>67</v>
      </c>
      <c r="B68">
        <f>Sheet1!A68</f>
        <v>11611</v>
      </c>
      <c r="C68">
        <f>IF(Sheet1!U68="HEAVY",2,1)</f>
        <v>2</v>
      </c>
      <c r="D68" t="str">
        <f>Sheet1!C68</f>
        <v>VC_INSP_STAGE_P2_BLOW</v>
      </c>
      <c r="E68" t="s">
        <v>105</v>
      </c>
      <c r="F68" t="str">
        <f>Sheet1!W68</f>
        <v>INSPECTION_STAGE</v>
      </c>
      <c r="G68" t="str">
        <f>Sheet1!E68</f>
        <v>검사스테이지 P2 진공 파기에 실패 했습니다</v>
      </c>
    </row>
    <row r="69" spans="1:7" x14ac:dyDescent="0.3">
      <c r="A69">
        <f t="shared" si="1"/>
        <v>68</v>
      </c>
      <c r="B69">
        <f>Sheet1!A69</f>
        <v>11612</v>
      </c>
      <c r="C69">
        <f>IF(Sheet1!U69="HEAVY",2,1)</f>
        <v>2</v>
      </c>
      <c r="D69" t="str">
        <f>Sheet1!C69</f>
        <v>SE_INSP_STAGE_P2_VACUUM_CHECK</v>
      </c>
      <c r="E69" t="s">
        <v>105</v>
      </c>
      <c r="F69" t="str">
        <f>Sheet1!W69</f>
        <v>INSPECTION_STAGE</v>
      </c>
      <c r="G69" t="str">
        <f>Sheet1!E69</f>
        <v>검사스테이지 P2 셀 확인에 실패 했습니다 (진공)</v>
      </c>
    </row>
    <row r="70" spans="1:7" x14ac:dyDescent="0.3">
      <c r="A70">
        <f t="shared" si="1"/>
        <v>69</v>
      </c>
      <c r="B70">
        <f>Sheet1!A70</f>
        <v>11613</v>
      </c>
      <c r="C70">
        <f>IF(Sheet1!U70="HEAVY",2,1)</f>
        <v>2</v>
      </c>
      <c r="D70" t="str">
        <f>Sheet1!C70</f>
        <v>SE_INSP_STAGE_P2_SENSOR_CHECK</v>
      </c>
      <c r="E70" t="s">
        <v>105</v>
      </c>
      <c r="F70" t="str">
        <f>Sheet1!W70</f>
        <v>INSPECTION_STAGE</v>
      </c>
      <c r="G70" t="str">
        <f>Sheet1!E70</f>
        <v>검사스테이지 P2 셀 확인에 실패 했습니다 (센서)</v>
      </c>
    </row>
    <row r="71" spans="1:7" x14ac:dyDescent="0.3">
      <c r="A71">
        <f t="shared" si="1"/>
        <v>70</v>
      </c>
      <c r="B71">
        <f>Sheet1!A71</f>
        <v>11614</v>
      </c>
      <c r="C71">
        <f>IF(Sheet1!U71="HEAVY",2,1)</f>
        <v>2</v>
      </c>
      <c r="D71" t="str">
        <f>Sheet1!C71</f>
        <v>SE_INSP_STAGE_P2_VACUUM_OVERLAP</v>
      </c>
      <c r="E71" t="s">
        <v>105</v>
      </c>
      <c r="F71" t="str">
        <f>Sheet1!W71</f>
        <v>INSPECTION_STAGE</v>
      </c>
      <c r="G71" t="str">
        <f>Sheet1!E71</f>
        <v>검사스테이지 P2 셀 겹침 확인되었습니다 (진공)</v>
      </c>
    </row>
    <row r="72" spans="1:7" x14ac:dyDescent="0.3">
      <c r="A72">
        <f t="shared" si="1"/>
        <v>71</v>
      </c>
      <c r="B72">
        <f>Sheet1!A72</f>
        <v>11615</v>
      </c>
      <c r="C72">
        <f>IF(Sheet1!U72="HEAVY",2,1)</f>
        <v>2</v>
      </c>
      <c r="D72" t="str">
        <f>Sheet1!C72</f>
        <v>SE_INSP_STAGE_P2_SENSOR_OVERLAP</v>
      </c>
      <c r="E72" t="s">
        <v>105</v>
      </c>
      <c r="F72" t="str">
        <f>Sheet1!W72</f>
        <v>INSPECTION_STAGE</v>
      </c>
      <c r="G72" t="str">
        <f>Sheet1!E72</f>
        <v>검사스테이지 P2 셀 겹침 확인되었습니다 (센서)</v>
      </c>
    </row>
    <row r="73" spans="1:7" x14ac:dyDescent="0.3">
      <c r="A73">
        <f t="shared" si="1"/>
        <v>72</v>
      </c>
      <c r="B73">
        <f>Sheet1!A73</f>
        <v>12000</v>
      </c>
      <c r="C73">
        <f>IF(Sheet1!U73="HEAVY",2,1)</f>
        <v>2</v>
      </c>
      <c r="D73" t="str">
        <f>Sheet1!C73</f>
        <v>MO_TRANSFER_ROBOT_OUT_N_INITIALIZE</v>
      </c>
      <c r="E73" t="s">
        <v>105</v>
      </c>
      <c r="F73" t="str">
        <f>Sheet1!W73</f>
        <v>OUT_ROBOT</v>
      </c>
      <c r="G73" t="str">
        <f>Sheet1!E73</f>
        <v>OUT로봇 초기화 동작에 실패 했습니다</v>
      </c>
    </row>
    <row r="74" spans="1:7" x14ac:dyDescent="0.3">
      <c r="A74">
        <f t="shared" si="1"/>
        <v>73</v>
      </c>
      <c r="B74">
        <f>Sheet1!A74</f>
        <v>12001</v>
      </c>
      <c r="C74">
        <f>IF(Sheet1!U74="HEAVY",2,1)</f>
        <v>2</v>
      </c>
      <c r="D74" t="str">
        <f>Sheet1!C74</f>
        <v>MO_TRANSFER_ROBOT_OUT_PROCESS_SKIP</v>
      </c>
      <c r="E74" t="s">
        <v>105</v>
      </c>
      <c r="F74" t="str">
        <f>Sheet1!W74</f>
        <v>OUT_ROBOT</v>
      </c>
      <c r="G74" t="str">
        <f>Sheet1!E74</f>
        <v>OUT로봇 동작중인 프로세스 스킵에 실패 했습니다</v>
      </c>
    </row>
    <row r="75" spans="1:7" x14ac:dyDescent="0.3">
      <c r="A75">
        <f t="shared" si="1"/>
        <v>74</v>
      </c>
      <c r="B75">
        <f>Sheet1!A75</f>
        <v>12002</v>
      </c>
      <c r="C75">
        <f>IF(Sheet1!U75="HEAVY",2,1)</f>
        <v>2</v>
      </c>
      <c r="D75" t="str">
        <f>Sheet1!C75</f>
        <v>MO_TRANSFER_ROBOT_OUT_ENTER_JCM_MODE</v>
      </c>
      <c r="E75" t="s">
        <v>105</v>
      </c>
      <c r="F75" t="str">
        <f>Sheet1!W75</f>
        <v>OUT_ROBOT</v>
      </c>
      <c r="G75" t="str">
        <f>Sheet1!E75</f>
        <v xml:space="preserve">OUT로봇 JCM 모드 진입(ENTER)에 실패 했습니다. </v>
      </c>
    </row>
    <row r="76" spans="1:7" x14ac:dyDescent="0.3">
      <c r="A76">
        <f t="shared" si="1"/>
        <v>75</v>
      </c>
      <c r="B76">
        <f>Sheet1!A76</f>
        <v>12003</v>
      </c>
      <c r="C76">
        <f>IF(Sheet1!U76="HEAVY",2,1)</f>
        <v>2</v>
      </c>
      <c r="D76" t="str">
        <f>Sheet1!C76</f>
        <v>MO_TRANSFER_ROBOT_OUT_JCM_MODE_MOVE</v>
      </c>
      <c r="E76" t="s">
        <v>105</v>
      </c>
      <c r="F76" t="str">
        <f>Sheet1!W76</f>
        <v>OUT_ROBOT</v>
      </c>
      <c r="G76" t="str">
        <f>Sheet1!E76</f>
        <v>OUT로봇 JCM 모드 이동(MOVE)에 실패 했습니다.</v>
      </c>
    </row>
    <row r="77" spans="1:7" x14ac:dyDescent="0.3">
      <c r="A77">
        <f t="shared" si="1"/>
        <v>76</v>
      </c>
      <c r="B77">
        <f>Sheet1!A77</f>
        <v>12004</v>
      </c>
      <c r="C77">
        <f>IF(Sheet1!U77="HEAVY",2,1)</f>
        <v>2</v>
      </c>
      <c r="D77" t="str">
        <f>Sheet1!C77</f>
        <v>MO_TRANSFER_ROBOT_OUT_EXIT_JCM_MODE</v>
      </c>
      <c r="E77" t="s">
        <v>105</v>
      </c>
      <c r="F77" t="str">
        <f>Sheet1!W77</f>
        <v>OUT_ROBOT</v>
      </c>
      <c r="G77" t="str">
        <f>Sheet1!E77</f>
        <v xml:space="preserve">OUT로봇 JCM 모드 출입(EXIT)에 실패 했습니다. </v>
      </c>
    </row>
    <row r="78" spans="1:7" x14ac:dyDescent="0.3">
      <c r="A78">
        <f t="shared" si="1"/>
        <v>77</v>
      </c>
      <c r="B78">
        <f>Sheet1!A78</f>
        <v>12005</v>
      </c>
      <c r="C78">
        <f>IF(Sheet1!U78="HEAVY",2,1)</f>
        <v>2</v>
      </c>
      <c r="D78" t="str">
        <f>Sheet1!C78</f>
        <v>MO_TRANSFER_ROBOT_OUT_LOAD_BEGIN</v>
      </c>
      <c r="E78" t="s">
        <v>105</v>
      </c>
      <c r="F78" t="str">
        <f>Sheet1!W78</f>
        <v>OUT_ROBOT</v>
      </c>
      <c r="G78" t="str">
        <f>Sheet1!E78</f>
        <v>OUT로봇 로드 프로세스 진입에 실패 했습니다 (검사스테이지 위치)</v>
      </c>
    </row>
    <row r="79" spans="1:7" x14ac:dyDescent="0.3">
      <c r="A79">
        <f t="shared" si="1"/>
        <v>78</v>
      </c>
      <c r="B79">
        <f>Sheet1!A79</f>
        <v>12006</v>
      </c>
      <c r="C79">
        <f>IF(Sheet1!U79="HEAVY",2,1)</f>
        <v>2</v>
      </c>
      <c r="D79" t="str">
        <f>Sheet1!C79</f>
        <v>MO_TRANSFER_ROBOT_OUT_LOAD_PERMIT</v>
      </c>
      <c r="E79" t="s">
        <v>105</v>
      </c>
      <c r="F79" t="str">
        <f>Sheet1!W79</f>
        <v>OUT_ROBOT</v>
      </c>
      <c r="G79" t="str">
        <f>Sheet1!E79</f>
        <v>OUT로봇 로드 프로세스 퍼밋 동작에 실패 했습니다 (검사스테이지 위치)</v>
      </c>
    </row>
    <row r="80" spans="1:7" x14ac:dyDescent="0.3">
      <c r="A80">
        <f t="shared" si="1"/>
        <v>79</v>
      </c>
      <c r="B80">
        <f>Sheet1!A80</f>
        <v>12007</v>
      </c>
      <c r="C80">
        <f>IF(Sheet1!U80="HEAVY",2,1)</f>
        <v>2</v>
      </c>
      <c r="D80" t="str">
        <f>Sheet1!C80</f>
        <v>MO_TRANSFER_ROBOT_OUT_LOAD_EXIT</v>
      </c>
      <c r="E80" t="s">
        <v>105</v>
      </c>
      <c r="F80" t="str">
        <f>Sheet1!W80</f>
        <v>OUT_ROBOT</v>
      </c>
      <c r="G80" t="str">
        <f>Sheet1!E80</f>
        <v>OUT로봇 로드 프로세스 종료에 실패 했습니다 (검사스테이지 위치)</v>
      </c>
    </row>
    <row r="81" spans="1:7" x14ac:dyDescent="0.3">
      <c r="A81">
        <f t="shared" si="1"/>
        <v>80</v>
      </c>
      <c r="B81">
        <f>Sheet1!A81</f>
        <v>12008</v>
      </c>
      <c r="C81">
        <f>IF(Sheet1!U81="HEAVY",2,1)</f>
        <v>2</v>
      </c>
      <c r="D81" t="str">
        <f>Sheet1!C81</f>
        <v>MO_TRANSFER_ROBOT_OUT_UNLOAD_BEGIN</v>
      </c>
      <c r="E81" t="s">
        <v>105</v>
      </c>
      <c r="F81" t="str">
        <f>Sheet1!W81</f>
        <v>OUT_ROBOT</v>
      </c>
      <c r="G81" t="str">
        <f>Sheet1!E81</f>
        <v>OUT로봇 언로드 프로세스 진입에 실패 했습니다 (하류설비 위치)</v>
      </c>
    </row>
    <row r="82" spans="1:7" x14ac:dyDescent="0.3">
      <c r="A82">
        <f t="shared" si="1"/>
        <v>81</v>
      </c>
      <c r="B82">
        <f>Sheet1!A82</f>
        <v>12009</v>
      </c>
      <c r="C82">
        <f>IF(Sheet1!U82="HEAVY",2,1)</f>
        <v>2</v>
      </c>
      <c r="D82" t="str">
        <f>Sheet1!C82</f>
        <v>MO_TRANSFER_ROBOT_OUT_UNLOAD_PERMIT</v>
      </c>
      <c r="E82" t="s">
        <v>105</v>
      </c>
      <c r="F82" t="str">
        <f>Sheet1!W82</f>
        <v>OUT_ROBOT</v>
      </c>
      <c r="G82" t="str">
        <f>Sheet1!E82</f>
        <v>OUT로봇 언로드 프로세스 퍼밋 동작에 실패 했습니다 (하류설비 위치)</v>
      </c>
    </row>
    <row r="83" spans="1:7" x14ac:dyDescent="0.3">
      <c r="A83">
        <f t="shared" si="1"/>
        <v>82</v>
      </c>
      <c r="B83">
        <f>Sheet1!A83</f>
        <v>12010</v>
      </c>
      <c r="C83">
        <f>IF(Sheet1!U83="HEAVY",2,1)</f>
        <v>2</v>
      </c>
      <c r="D83" t="str">
        <f>Sheet1!C83</f>
        <v>MO_TRANSFER_ROBOT_OUT_UNLOAD_EXIT</v>
      </c>
      <c r="E83" t="s">
        <v>105</v>
      </c>
      <c r="F83" t="str">
        <f>Sheet1!W83</f>
        <v>OUT_ROBOT</v>
      </c>
      <c r="G83" t="str">
        <f>Sheet1!E83</f>
        <v>OUT로봇 언로드 프로세스 종료에 실패 했습니다 (하류설비 위치)</v>
      </c>
    </row>
    <row r="84" spans="1:7" x14ac:dyDescent="0.3">
      <c r="A84">
        <f t="shared" si="1"/>
        <v>83</v>
      </c>
      <c r="B84">
        <f>Sheet1!A84</f>
        <v>12100</v>
      </c>
      <c r="C84">
        <f>IF(Sheet1!U84="HEAVY",2,1)</f>
        <v>2</v>
      </c>
      <c r="D84" t="str">
        <f>Sheet1!C84</f>
        <v>CY_TRANSFER_ROBOT_OUT_P1_T_TURN</v>
      </c>
      <c r="E84" t="s">
        <v>105</v>
      </c>
      <c r="F84" t="str">
        <f>Sheet1!W84</f>
        <v>OUT_ROBOT</v>
      </c>
      <c r="G84" t="str">
        <f>Sheet1!E84</f>
        <v>OUT로봇 실린더 P1 회전 동작에 실패 했습니다</v>
      </c>
    </row>
    <row r="85" spans="1:7" x14ac:dyDescent="0.3">
      <c r="A85">
        <f t="shared" si="1"/>
        <v>84</v>
      </c>
      <c r="B85">
        <f>Sheet1!A85</f>
        <v>12101</v>
      </c>
      <c r="C85">
        <f>IF(Sheet1!U85="HEAVY",2,1)</f>
        <v>2</v>
      </c>
      <c r="D85" t="str">
        <f>Sheet1!C85</f>
        <v>CY_TRANSFER_ROBOT_OUT_P1_T_RETURN</v>
      </c>
      <c r="E85" t="s">
        <v>105</v>
      </c>
      <c r="F85" t="str">
        <f>Sheet1!W85</f>
        <v>OUT_ROBOT</v>
      </c>
      <c r="G85" t="str">
        <f>Sheet1!E85</f>
        <v>OUT로봇 실린더 P1 복귀 동작에 실패 했습니다</v>
      </c>
    </row>
    <row r="86" spans="1:7" x14ac:dyDescent="0.3">
      <c r="A86">
        <f t="shared" si="1"/>
        <v>85</v>
      </c>
      <c r="B86">
        <f>Sheet1!A86</f>
        <v>12110</v>
      </c>
      <c r="C86">
        <f>IF(Sheet1!U86="HEAVY",2,1)</f>
        <v>2</v>
      </c>
      <c r="D86" t="str">
        <f>Sheet1!C86</f>
        <v>CY_TRANSFER_ROBOT_OUT_P2_T_TURN</v>
      </c>
      <c r="E86" t="s">
        <v>105</v>
      </c>
      <c r="F86" t="str">
        <f>Sheet1!W86</f>
        <v>OUT_ROBOT</v>
      </c>
      <c r="G86" t="str">
        <f>Sheet1!E86</f>
        <v>OUT로봇 실린더 P2 회전 동작에 실패 했습니다</v>
      </c>
    </row>
    <row r="87" spans="1:7" x14ac:dyDescent="0.3">
      <c r="A87">
        <f t="shared" si="1"/>
        <v>86</v>
      </c>
      <c r="B87">
        <f>Sheet1!A87</f>
        <v>12111</v>
      </c>
      <c r="C87">
        <f>IF(Sheet1!U87="HEAVY",2,1)</f>
        <v>2</v>
      </c>
      <c r="D87" t="str">
        <f>Sheet1!C87</f>
        <v>CY_TRANSFER_ROBOT_OUT_P2_T_RETURN</v>
      </c>
      <c r="E87" t="s">
        <v>105</v>
      </c>
      <c r="F87" t="str">
        <f>Sheet1!W87</f>
        <v>OUT_ROBOT</v>
      </c>
      <c r="G87" t="str">
        <f>Sheet1!E87</f>
        <v>OUT로봇 실린더 P2 복귀 동작에 실패 했습니다</v>
      </c>
    </row>
    <row r="88" spans="1:7" x14ac:dyDescent="0.3">
      <c r="A88">
        <f t="shared" si="1"/>
        <v>87</v>
      </c>
      <c r="B88">
        <f>Sheet1!A88</f>
        <v>12120</v>
      </c>
      <c r="C88">
        <f>IF(Sheet1!U88="HEAVY",2,1)</f>
        <v>2</v>
      </c>
      <c r="D88" t="str">
        <f>Sheet1!C88</f>
        <v>VC_TRANSFER_ROBOT_OUT_P1_VACUUM</v>
      </c>
      <c r="E88" t="s">
        <v>105</v>
      </c>
      <c r="F88" t="str">
        <f>Sheet1!W88</f>
        <v>OUT_ROBOT</v>
      </c>
      <c r="G88" t="str">
        <f>Sheet1!E88</f>
        <v>OUT로봇 피커 P1 흡착에 실패 했습니다</v>
      </c>
    </row>
    <row r="89" spans="1:7" x14ac:dyDescent="0.3">
      <c r="A89">
        <f t="shared" si="1"/>
        <v>88</v>
      </c>
      <c r="B89">
        <f>Sheet1!A89</f>
        <v>12121</v>
      </c>
      <c r="C89">
        <f>IF(Sheet1!U89="HEAVY",2,1)</f>
        <v>2</v>
      </c>
      <c r="D89" t="str">
        <f>Sheet1!C89</f>
        <v>VC_TRANSFER_ROBOT_OUT_P1_BLOW</v>
      </c>
      <c r="E89" t="s">
        <v>105</v>
      </c>
      <c r="F89" t="str">
        <f>Sheet1!W89</f>
        <v>OUT_ROBOT</v>
      </c>
      <c r="G89" t="str">
        <f>Sheet1!E89</f>
        <v>OUT로봇 피커 P1 파기에 실패 했습니다</v>
      </c>
    </row>
    <row r="90" spans="1:7" x14ac:dyDescent="0.3">
      <c r="A90">
        <f t="shared" si="1"/>
        <v>89</v>
      </c>
      <c r="B90">
        <f>Sheet1!A90</f>
        <v>12122</v>
      </c>
      <c r="C90">
        <f>IF(Sheet1!U90="HEAVY",2,1)</f>
        <v>2</v>
      </c>
      <c r="D90" t="str">
        <f>Sheet1!C90</f>
        <v>SE_TRANSFER_ROBOT_OUT_P1_VACUUM_CHECK</v>
      </c>
      <c r="E90" t="s">
        <v>105</v>
      </c>
      <c r="F90" t="str">
        <f>Sheet1!W90</f>
        <v>OUT_ROBOT</v>
      </c>
      <c r="G90" t="str">
        <f>Sheet1!E90</f>
        <v>OUT로봇 P1 셀 확인에 실패 했습니다 (진공)</v>
      </c>
    </row>
    <row r="91" spans="1:7" x14ac:dyDescent="0.3">
      <c r="A91">
        <f t="shared" si="1"/>
        <v>90</v>
      </c>
      <c r="B91">
        <f>Sheet1!A91</f>
        <v>12123</v>
      </c>
      <c r="C91">
        <f>IF(Sheet1!U91="HEAVY",2,1)</f>
        <v>2</v>
      </c>
      <c r="D91" t="str">
        <f>Sheet1!C91</f>
        <v>SE_TRANSFER_ROBOT_OUT_P1_SENSOR_CHECK</v>
      </c>
      <c r="E91" t="s">
        <v>105</v>
      </c>
      <c r="F91" t="str">
        <f>Sheet1!W91</f>
        <v>OUT_ROBOT</v>
      </c>
      <c r="G91" t="str">
        <f>Sheet1!E91</f>
        <v>OUT로봇 P1 셀 확인에 실패 했습니다 (센서)</v>
      </c>
    </row>
    <row r="92" spans="1:7" x14ac:dyDescent="0.3">
      <c r="A92">
        <f t="shared" si="1"/>
        <v>91</v>
      </c>
      <c r="B92">
        <f>Sheet1!A92</f>
        <v>12124</v>
      </c>
      <c r="C92">
        <f>IF(Sheet1!U92="HEAVY",2,1)</f>
        <v>2</v>
      </c>
      <c r="D92" t="str">
        <f>Sheet1!C92</f>
        <v>SE_TRANSFER_ROBOT_OUT_P1_VACUUM_OVERLAP</v>
      </c>
      <c r="E92" t="s">
        <v>105</v>
      </c>
      <c r="F92" t="str">
        <f>Sheet1!W92</f>
        <v>OUT_ROBOT</v>
      </c>
      <c r="G92" t="str">
        <f>Sheet1!E92</f>
        <v>OUT로봇 P1 셀 겹침 확인되었습니다 (진공)</v>
      </c>
    </row>
    <row r="93" spans="1:7" x14ac:dyDescent="0.3">
      <c r="A93">
        <f t="shared" si="1"/>
        <v>92</v>
      </c>
      <c r="B93">
        <f>Sheet1!A93</f>
        <v>12125</v>
      </c>
      <c r="C93">
        <f>IF(Sheet1!U93="HEAVY",2,1)</f>
        <v>2</v>
      </c>
      <c r="D93" t="str">
        <f>Sheet1!C93</f>
        <v>SE_TRANSFER_ROBOT_OUT_P1_SENSOR_OVERLAP</v>
      </c>
      <c r="E93" t="s">
        <v>105</v>
      </c>
      <c r="F93" t="str">
        <f>Sheet1!W93</f>
        <v>OUT_ROBOT</v>
      </c>
      <c r="G93" t="str">
        <f>Sheet1!E93</f>
        <v>OUT로봇 P1 셀 겹침 확인되었습니다 (센서)</v>
      </c>
    </row>
    <row r="94" spans="1:7" x14ac:dyDescent="0.3">
      <c r="A94">
        <f t="shared" si="1"/>
        <v>93</v>
      </c>
      <c r="B94">
        <f>Sheet1!A94</f>
        <v>12130</v>
      </c>
      <c r="C94">
        <f>IF(Sheet1!U94="HEAVY",2,1)</f>
        <v>2</v>
      </c>
      <c r="D94" t="str">
        <f>Sheet1!C94</f>
        <v>VC_TRANSFER_ROBOT_OUT_P2_VACUUM</v>
      </c>
      <c r="E94" t="s">
        <v>105</v>
      </c>
      <c r="F94" t="str">
        <f>Sheet1!W94</f>
        <v>OUT_ROBOT</v>
      </c>
      <c r="G94" t="str">
        <f>Sheet1!E94</f>
        <v>OUT로봇 피커 P2 흡착에 실패 했습니다</v>
      </c>
    </row>
    <row r="95" spans="1:7" x14ac:dyDescent="0.3">
      <c r="A95">
        <f t="shared" si="1"/>
        <v>94</v>
      </c>
      <c r="B95">
        <f>Sheet1!A95</f>
        <v>12131</v>
      </c>
      <c r="C95">
        <f>IF(Sheet1!U95="HEAVY",2,1)</f>
        <v>2</v>
      </c>
      <c r="D95" t="str">
        <f>Sheet1!C95</f>
        <v>VC_TRANSFER_ROBOT_OUT_P2_BLOW</v>
      </c>
      <c r="E95" t="s">
        <v>105</v>
      </c>
      <c r="F95" t="str">
        <f>Sheet1!W95</f>
        <v>OUT_ROBOT</v>
      </c>
      <c r="G95" t="str">
        <f>Sheet1!E95</f>
        <v>OUT로봇 피커 P2 파기에 실패 했습니다</v>
      </c>
    </row>
    <row r="96" spans="1:7" x14ac:dyDescent="0.3">
      <c r="A96">
        <f t="shared" si="1"/>
        <v>95</v>
      </c>
      <c r="B96">
        <f>Sheet1!A96</f>
        <v>12132</v>
      </c>
      <c r="C96">
        <f>IF(Sheet1!U96="HEAVY",2,1)</f>
        <v>2</v>
      </c>
      <c r="D96" t="str">
        <f>Sheet1!C96</f>
        <v>SE_TRANSFER_ROBOT_OUT_P2_VACUUM_CHECK</v>
      </c>
      <c r="E96" t="s">
        <v>105</v>
      </c>
      <c r="F96" t="str">
        <f>Sheet1!W96</f>
        <v>OUT_ROBOT</v>
      </c>
      <c r="G96" t="str">
        <f>Sheet1!E96</f>
        <v>OUT로봇 P2 셀 확인에 실패 했습니다 (진공)</v>
      </c>
    </row>
    <row r="97" spans="1:7" x14ac:dyDescent="0.3">
      <c r="A97">
        <f t="shared" si="1"/>
        <v>96</v>
      </c>
      <c r="B97">
        <f>Sheet1!A97</f>
        <v>12133</v>
      </c>
      <c r="C97">
        <f>IF(Sheet1!U97="HEAVY",2,1)</f>
        <v>2</v>
      </c>
      <c r="D97" t="str">
        <f>Sheet1!C97</f>
        <v>SE_TRANSFER_ROBOT_OUT_P2_SENSOR_CHECK</v>
      </c>
      <c r="E97" t="s">
        <v>105</v>
      </c>
      <c r="F97" t="str">
        <f>Sheet1!W97</f>
        <v>OUT_ROBOT</v>
      </c>
      <c r="G97" t="str">
        <f>Sheet1!E97</f>
        <v>OUT로봇 P2 셀 확인에 실패 했습니다 (센서)</v>
      </c>
    </row>
    <row r="98" spans="1:7" x14ac:dyDescent="0.3">
      <c r="A98">
        <f t="shared" si="1"/>
        <v>97</v>
      </c>
      <c r="B98">
        <f>Sheet1!A98</f>
        <v>12134</v>
      </c>
      <c r="C98">
        <f>IF(Sheet1!U98="HEAVY",2,1)</f>
        <v>2</v>
      </c>
      <c r="D98" t="str">
        <f>Sheet1!C98</f>
        <v>SE_TRANSFER_ROBOT_OUT_P2_VACUUM_OVERLAP</v>
      </c>
      <c r="E98" t="s">
        <v>105</v>
      </c>
      <c r="F98" t="str">
        <f>Sheet1!W98</f>
        <v>OUT_ROBOT</v>
      </c>
      <c r="G98" t="str">
        <f>Sheet1!E98</f>
        <v>OUT로봇 P2 셀 겹침 확인되었습니다 (진공)</v>
      </c>
    </row>
    <row r="99" spans="1:7" x14ac:dyDescent="0.3">
      <c r="A99">
        <f t="shared" si="1"/>
        <v>98</v>
      </c>
      <c r="B99">
        <f>Sheet1!A99</f>
        <v>12135</v>
      </c>
      <c r="C99">
        <f>IF(Sheet1!U99="HEAVY",2,1)</f>
        <v>2</v>
      </c>
      <c r="D99" t="str">
        <f>Sheet1!C99</f>
        <v>SE_TRANSFER_ROBOT_OUT_P2_SENSOR_OVERLAP</v>
      </c>
      <c r="E99" t="s">
        <v>105</v>
      </c>
      <c r="F99" t="str">
        <f>Sheet1!W99</f>
        <v>OUT_ROBOT</v>
      </c>
      <c r="G99" t="str">
        <f>Sheet1!E99</f>
        <v>OUT로봇 P2 셀 겹침 확인되었습니다 (센서)</v>
      </c>
    </row>
    <row r="100" spans="1:7" x14ac:dyDescent="0.3">
      <c r="A100">
        <f t="shared" si="1"/>
        <v>99</v>
      </c>
      <c r="B100">
        <f>Sheet1!A100</f>
        <v>12400</v>
      </c>
      <c r="C100">
        <f>IF(Sheet1!U100="HEAVY",2,1)</f>
        <v>2</v>
      </c>
      <c r="D100" t="str">
        <f>Sheet1!C100</f>
        <v>CO_TRANSFER_ROBOT_OUT_ALIGN_DATA</v>
      </c>
      <c r="E100" t="s">
        <v>105</v>
      </c>
      <c r="F100" t="str">
        <f>Sheet1!W100</f>
        <v>OUT_ROBOT</v>
      </c>
      <c r="G100" t="str">
        <f>Sheet1!E100</f>
        <v>OUT로봇 얼라인 데이터 전송에 실패 했습니다</v>
      </c>
    </row>
    <row r="101" spans="1:7" x14ac:dyDescent="0.3">
      <c r="A101">
        <f t="shared" si="1"/>
        <v>100</v>
      </c>
      <c r="B101">
        <f>Sheet1!A101</f>
        <v>12401</v>
      </c>
      <c r="C101">
        <f>IF(Sheet1!U101="HEAVY",2,1)</f>
        <v>2</v>
      </c>
      <c r="D101" t="str">
        <f>Sheet1!C101</f>
        <v>CO_TRANSFER_ROBOT_OUT_RESET_DATA</v>
      </c>
      <c r="E101" t="s">
        <v>105</v>
      </c>
      <c r="F101" t="str">
        <f>Sheet1!W101</f>
        <v>OUT_ROBOT</v>
      </c>
      <c r="G101" t="str">
        <f>Sheet1!E101</f>
        <v>OUT로봇 얼라인 초기화 데이터 전송에 실패 했습니다</v>
      </c>
    </row>
    <row r="102" spans="1:7" x14ac:dyDescent="0.3">
      <c r="A102">
        <f t="shared" si="1"/>
        <v>101</v>
      </c>
      <c r="B102">
        <f>Sheet1!A102</f>
        <v>12402</v>
      </c>
      <c r="C102">
        <f>IF(Sheet1!U102="HEAVY",2,1)</f>
        <v>2</v>
      </c>
      <c r="D102" t="str">
        <f>Sheet1!C102</f>
        <v>CO_TRANSFER_ROBOT_OUT_CALIBRATION_DATA</v>
      </c>
      <c r="E102" t="s">
        <v>105</v>
      </c>
      <c r="F102" t="str">
        <f>Sheet1!W102</f>
        <v>OUT_ROBOT</v>
      </c>
      <c r="G102" t="str">
        <f>Sheet1!E102</f>
        <v>OUT로봇 켈리브레이션 데이터 전송에 실패 했습니다</v>
      </c>
    </row>
    <row r="103" spans="1:7" x14ac:dyDescent="0.3">
      <c r="A103">
        <f t="shared" si="1"/>
        <v>102</v>
      </c>
      <c r="B103">
        <f>Sheet1!A103</f>
        <v>13000</v>
      </c>
      <c r="C103">
        <f>IF(Sheet1!U103="HEAVY",2,1)</f>
        <v>2</v>
      </c>
      <c r="D103" t="str">
        <f>Sheet1!C103</f>
        <v>MO_OUT_FLIP_R1_HOME_MOTION</v>
      </c>
      <c r="E103" t="s">
        <v>105</v>
      </c>
      <c r="F103" t="str">
        <f>Sheet1!W103</f>
        <v>OUT_FLIP</v>
      </c>
      <c r="G103" t="str">
        <f>Sheet1!E103</f>
        <v>OUT플립 R1축이 홈 동작 진행에 실패 했습니다</v>
      </c>
    </row>
    <row r="104" spans="1:7" x14ac:dyDescent="0.3">
      <c r="A104">
        <f t="shared" si="1"/>
        <v>103</v>
      </c>
      <c r="B104">
        <f>Sheet1!A104</f>
        <v>13001</v>
      </c>
      <c r="C104">
        <f>IF(Sheet1!U104="HEAVY",2,1)</f>
        <v>2</v>
      </c>
      <c r="D104" t="str">
        <f>Sheet1!C104</f>
        <v>MO_OUT_FLIP_R1_LOAD_MOVE</v>
      </c>
      <c r="E104" t="s">
        <v>105</v>
      </c>
      <c r="F104" t="str">
        <f>Sheet1!W104</f>
        <v>OUT_FLIP</v>
      </c>
      <c r="G104" t="str">
        <f>Sheet1!E104</f>
        <v>OUT플립 R1축 로드 위치 이동에 실패 했습니다 (OUT로봇 위치)</v>
      </c>
    </row>
    <row r="105" spans="1:7" x14ac:dyDescent="0.3">
      <c r="A105">
        <f t="shared" si="1"/>
        <v>104</v>
      </c>
      <c r="B105">
        <f>Sheet1!A105</f>
        <v>13002</v>
      </c>
      <c r="C105">
        <f>IF(Sheet1!U105="HEAVY",2,1)</f>
        <v>2</v>
      </c>
      <c r="D105" t="str">
        <f>Sheet1!C105</f>
        <v>MO_OUT_FLIP_R1_UNLOAD_MOVE</v>
      </c>
      <c r="E105" t="s">
        <v>105</v>
      </c>
      <c r="F105" t="str">
        <f>Sheet1!W105</f>
        <v>OUT_FLIP</v>
      </c>
      <c r="G105" t="str">
        <f>Sheet1!E105</f>
        <v>OUT플립 R1축 언로드 위치 이동에 실패 했습니다 (OUT컨베이어 위치)</v>
      </c>
    </row>
    <row r="106" spans="1:7" x14ac:dyDescent="0.3">
      <c r="A106">
        <f t="shared" si="1"/>
        <v>105</v>
      </c>
      <c r="B106">
        <f>Sheet1!A106</f>
        <v>13010</v>
      </c>
      <c r="C106">
        <f>IF(Sheet1!U106="HEAVY",2,1)</f>
        <v>2</v>
      </c>
      <c r="D106" t="str">
        <f>Sheet1!C106</f>
        <v>MO_OUT_FLIP_R2_HOME_MOTION</v>
      </c>
      <c r="E106" t="s">
        <v>105</v>
      </c>
      <c r="F106" t="str">
        <f>Sheet1!W106</f>
        <v>OUT_FLIP</v>
      </c>
      <c r="G106" t="str">
        <f>Sheet1!E106</f>
        <v>OUT플립 R2축이 홈 동작 진행에 실패 했습니다</v>
      </c>
    </row>
    <row r="107" spans="1:7" x14ac:dyDescent="0.3">
      <c r="A107">
        <f t="shared" si="1"/>
        <v>106</v>
      </c>
      <c r="B107">
        <f>Sheet1!A107</f>
        <v>13011</v>
      </c>
      <c r="C107">
        <f>IF(Sheet1!U107="HEAVY",2,1)</f>
        <v>2</v>
      </c>
      <c r="D107" t="str">
        <f>Sheet1!C107</f>
        <v>MO_OUT_FLIP_R2_LOAD_MOVE</v>
      </c>
      <c r="E107" t="s">
        <v>105</v>
      </c>
      <c r="F107" t="str">
        <f>Sheet1!W107</f>
        <v>OUT_FLIP</v>
      </c>
      <c r="G107" t="str">
        <f>Sheet1!E107</f>
        <v>OUT플립 R2축 로드 위치 이동에 실패 했습니다 (OUT로봇 위치)</v>
      </c>
    </row>
    <row r="108" spans="1:7" x14ac:dyDescent="0.3">
      <c r="A108">
        <f t="shared" si="1"/>
        <v>107</v>
      </c>
      <c r="B108">
        <f>Sheet1!A108</f>
        <v>13012</v>
      </c>
      <c r="C108">
        <f>IF(Sheet1!U108="HEAVY",2,1)</f>
        <v>2</v>
      </c>
      <c r="D108" t="str">
        <f>Sheet1!C108</f>
        <v>MO_OUT_FLIP_R2_UNLOAD_MOVE</v>
      </c>
      <c r="E108" t="s">
        <v>105</v>
      </c>
      <c r="F108" t="str">
        <f>Sheet1!W108</f>
        <v>OUT_FLIP</v>
      </c>
      <c r="G108" t="str">
        <f>Sheet1!E108</f>
        <v>OUT플립 R2축 언로드 위치 이동에 실패 했습니다 (OUT컨베이어 위치)</v>
      </c>
    </row>
    <row r="109" spans="1:7" x14ac:dyDescent="0.3">
      <c r="A109">
        <f t="shared" si="1"/>
        <v>108</v>
      </c>
      <c r="B109">
        <f>Sheet1!A109</f>
        <v>13020</v>
      </c>
      <c r="C109">
        <f>IF(Sheet1!U109="HEAVY",2,1)</f>
        <v>2</v>
      </c>
      <c r="D109" t="str">
        <f>Sheet1!C109</f>
        <v>MO_OUT_FLIP_Z_HOME_MOTION</v>
      </c>
      <c r="E109" t="s">
        <v>105</v>
      </c>
      <c r="F109" t="str">
        <f>Sheet1!W109</f>
        <v>OUT_FLIP</v>
      </c>
      <c r="G109" t="str">
        <f>Sheet1!E109</f>
        <v>OUT플립 Z축이 홈 동작 진행에 실패 했습니다</v>
      </c>
    </row>
    <row r="110" spans="1:7" x14ac:dyDescent="0.3">
      <c r="A110">
        <f t="shared" si="1"/>
        <v>109</v>
      </c>
      <c r="B110">
        <f>Sheet1!A110</f>
        <v>13021</v>
      </c>
      <c r="C110">
        <f>IF(Sheet1!U110="HEAVY",2,1)</f>
        <v>2</v>
      </c>
      <c r="D110" t="str">
        <f>Sheet1!C110</f>
        <v>MO_OUT_FLIP_Z_UP_MOVE</v>
      </c>
      <c r="E110" t="s">
        <v>105</v>
      </c>
      <c r="F110" t="str">
        <f>Sheet1!W110</f>
        <v>OUT_FLIP</v>
      </c>
      <c r="G110" t="str">
        <f>Sheet1!E110</f>
        <v>OUT플립 Z축 상승 위치 이동에 실패 했습니다</v>
      </c>
    </row>
    <row r="111" spans="1:7" x14ac:dyDescent="0.3">
      <c r="A111">
        <f t="shared" si="1"/>
        <v>110</v>
      </c>
      <c r="B111">
        <f>Sheet1!A111</f>
        <v>13022</v>
      </c>
      <c r="C111">
        <f>IF(Sheet1!U111="HEAVY",2,1)</f>
        <v>2</v>
      </c>
      <c r="D111" t="str">
        <f>Sheet1!C111</f>
        <v>MO_OUT_FLIP_Z_DOWN_MOVE</v>
      </c>
      <c r="E111" t="s">
        <v>105</v>
      </c>
      <c r="F111" t="str">
        <f>Sheet1!W111</f>
        <v>OUT_FLIP</v>
      </c>
      <c r="G111" t="str">
        <f>Sheet1!E111</f>
        <v>OUT플립 Z축 하강 위치 이동에 실패 했습니다</v>
      </c>
    </row>
    <row r="112" spans="1:7" x14ac:dyDescent="0.3">
      <c r="A112">
        <f t="shared" si="1"/>
        <v>111</v>
      </c>
      <c r="B112">
        <f>Sheet1!A112</f>
        <v>13100</v>
      </c>
      <c r="C112">
        <f>IF(Sheet1!U112="HEAVY",2,1)</f>
        <v>2</v>
      </c>
      <c r="D112" t="str">
        <f>Sheet1!C112</f>
        <v>VC_OUT_FLIP_P1_VACUUM</v>
      </c>
      <c r="E112" t="s">
        <v>105</v>
      </c>
      <c r="F112" t="str">
        <f>Sheet1!W112</f>
        <v>OUT_FLIP</v>
      </c>
      <c r="G112" t="str">
        <f>Sheet1!E112</f>
        <v>OUT플립 피커 P1 흡착에 실패 했습니다</v>
      </c>
    </row>
    <row r="113" spans="1:7" x14ac:dyDescent="0.3">
      <c r="A113">
        <f t="shared" si="1"/>
        <v>112</v>
      </c>
      <c r="B113">
        <f>Sheet1!A113</f>
        <v>13101</v>
      </c>
      <c r="C113">
        <f>IF(Sheet1!U113="HEAVY",2,1)</f>
        <v>2</v>
      </c>
      <c r="D113" t="str">
        <f>Sheet1!C113</f>
        <v>VC_OUT_FLIP_P1_BLOW</v>
      </c>
      <c r="E113" t="s">
        <v>105</v>
      </c>
      <c r="F113" t="str">
        <f>Sheet1!W113</f>
        <v>OUT_FLIP</v>
      </c>
      <c r="G113" t="str">
        <f>Sheet1!E113</f>
        <v>OUT플립 피커 P1 파기에 실패 했습니다</v>
      </c>
    </row>
    <row r="114" spans="1:7" x14ac:dyDescent="0.3">
      <c r="A114">
        <f t="shared" si="1"/>
        <v>113</v>
      </c>
      <c r="B114">
        <f>Sheet1!A114</f>
        <v>13102</v>
      </c>
      <c r="C114">
        <f>IF(Sheet1!U114="HEAVY",2,1)</f>
        <v>2</v>
      </c>
      <c r="D114" t="str">
        <f>Sheet1!C114</f>
        <v>SE_OUT_FLIP_P1_VACUUM_CHECK</v>
      </c>
      <c r="E114" t="s">
        <v>105</v>
      </c>
      <c r="F114" t="str">
        <f>Sheet1!W114</f>
        <v>OUT_FLIP</v>
      </c>
      <c r="G114" t="str">
        <f>Sheet1!E114</f>
        <v>OUT플립 P1 셀 확인에 실패 했습니다 (진공)</v>
      </c>
    </row>
    <row r="115" spans="1:7" x14ac:dyDescent="0.3">
      <c r="A115">
        <f t="shared" si="1"/>
        <v>114</v>
      </c>
      <c r="B115">
        <f>Sheet1!A115</f>
        <v>13103</v>
      </c>
      <c r="C115">
        <f>IF(Sheet1!U115="HEAVY",2,1)</f>
        <v>2</v>
      </c>
      <c r="D115" t="str">
        <f>Sheet1!C115</f>
        <v>SE_OUT_FLIP_P1_SENSOR_CHECK</v>
      </c>
      <c r="E115" t="s">
        <v>105</v>
      </c>
      <c r="F115" t="str">
        <f>Sheet1!W115</f>
        <v>OUT_FLIP</v>
      </c>
      <c r="G115" t="str">
        <f>Sheet1!E115</f>
        <v>OUT플립 P1 셀 확인에 실패 했습니다 (센서)</v>
      </c>
    </row>
    <row r="116" spans="1:7" x14ac:dyDescent="0.3">
      <c r="A116">
        <f t="shared" si="1"/>
        <v>115</v>
      </c>
      <c r="B116">
        <f>Sheet1!A116</f>
        <v>13104</v>
      </c>
      <c r="C116">
        <f>IF(Sheet1!U116="HEAVY",2,1)</f>
        <v>2</v>
      </c>
      <c r="D116" t="str">
        <f>Sheet1!C116</f>
        <v>SE_OUT_FLIP_P1_VACUUM_OVERLAP</v>
      </c>
      <c r="E116" t="s">
        <v>105</v>
      </c>
      <c r="F116" t="str">
        <f>Sheet1!W116</f>
        <v>OUT_FLIP</v>
      </c>
      <c r="G116" t="str">
        <f>Sheet1!E116</f>
        <v>OUT플립 P1 셀 겹침 확인되었습니다 (진공)</v>
      </c>
    </row>
    <row r="117" spans="1:7" x14ac:dyDescent="0.3">
      <c r="A117">
        <f t="shared" si="1"/>
        <v>116</v>
      </c>
      <c r="B117">
        <f>Sheet1!A117</f>
        <v>13105</v>
      </c>
      <c r="C117">
        <f>IF(Sheet1!U117="HEAVY",2,1)</f>
        <v>2</v>
      </c>
      <c r="D117" t="str">
        <f>Sheet1!C117</f>
        <v>SE_OUT_FLIP_P1_SENSOR_OVERLAP</v>
      </c>
      <c r="E117" t="s">
        <v>105</v>
      </c>
      <c r="F117" t="str">
        <f>Sheet1!W117</f>
        <v>OUT_FLIP</v>
      </c>
      <c r="G117" t="str">
        <f>Sheet1!E117</f>
        <v>OUT플립 P1 셀 겹침 확인되었습니다 (센서)</v>
      </c>
    </row>
    <row r="118" spans="1:7" x14ac:dyDescent="0.3">
      <c r="A118">
        <f t="shared" si="1"/>
        <v>117</v>
      </c>
      <c r="B118">
        <f>Sheet1!A118</f>
        <v>13110</v>
      </c>
      <c r="C118">
        <f>IF(Sheet1!U118="HEAVY",2,1)</f>
        <v>2</v>
      </c>
      <c r="D118" t="str">
        <f>Sheet1!C118</f>
        <v>VC_OUT_FLIP_P2_VACUUM</v>
      </c>
      <c r="E118" t="s">
        <v>105</v>
      </c>
      <c r="F118" t="str">
        <f>Sheet1!W118</f>
        <v>OUT_FLIP</v>
      </c>
      <c r="G118" t="str">
        <f>Sheet1!E118</f>
        <v>OUT플립 피커 P2 흡착에 실패 했습니다</v>
      </c>
    </row>
    <row r="119" spans="1:7" x14ac:dyDescent="0.3">
      <c r="A119">
        <f t="shared" si="1"/>
        <v>118</v>
      </c>
      <c r="B119">
        <f>Sheet1!A119</f>
        <v>13111</v>
      </c>
      <c r="C119">
        <f>IF(Sheet1!U119="HEAVY",2,1)</f>
        <v>2</v>
      </c>
      <c r="D119" t="str">
        <f>Sheet1!C119</f>
        <v>VC_OUT_FLIP_P2_BLOW</v>
      </c>
      <c r="E119" t="s">
        <v>105</v>
      </c>
      <c r="F119" t="str">
        <f>Sheet1!W119</f>
        <v>OUT_FLIP</v>
      </c>
      <c r="G119" t="str">
        <f>Sheet1!E119</f>
        <v>OUT플립 피커 P2 파기에 실패 했습니다</v>
      </c>
    </row>
    <row r="120" spans="1:7" x14ac:dyDescent="0.3">
      <c r="A120">
        <f t="shared" si="1"/>
        <v>119</v>
      </c>
      <c r="B120">
        <f>Sheet1!A120</f>
        <v>13112</v>
      </c>
      <c r="C120">
        <f>IF(Sheet1!U120="HEAVY",2,1)</f>
        <v>2</v>
      </c>
      <c r="D120" t="str">
        <f>Sheet1!C120</f>
        <v>SE_OUT_FLIP_P2_VACUUM_CHECK</v>
      </c>
      <c r="E120" t="s">
        <v>105</v>
      </c>
      <c r="F120" t="str">
        <f>Sheet1!W120</f>
        <v>OUT_FLIP</v>
      </c>
      <c r="G120" t="str">
        <f>Sheet1!E120</f>
        <v>OUT플립 P2 셀 확인에 실패 했습니다 (진공)</v>
      </c>
    </row>
    <row r="121" spans="1:7" x14ac:dyDescent="0.3">
      <c r="A121">
        <f t="shared" si="1"/>
        <v>120</v>
      </c>
      <c r="B121">
        <f>Sheet1!A121</f>
        <v>13113</v>
      </c>
      <c r="C121">
        <f>IF(Sheet1!U121="HEAVY",2,1)</f>
        <v>2</v>
      </c>
      <c r="D121" t="str">
        <f>Sheet1!C121</f>
        <v>SE_OUT_FLIP_P2_SENSOR_CHECK</v>
      </c>
      <c r="E121" t="s">
        <v>105</v>
      </c>
      <c r="F121" t="str">
        <f>Sheet1!W121</f>
        <v>OUT_FLIP</v>
      </c>
      <c r="G121" t="str">
        <f>Sheet1!E121</f>
        <v>OUT플립 P2 셀 확인에 실패 했습니다 (센서)</v>
      </c>
    </row>
    <row r="122" spans="1:7" x14ac:dyDescent="0.3">
      <c r="A122">
        <f t="shared" si="1"/>
        <v>121</v>
      </c>
      <c r="B122">
        <f>Sheet1!A122</f>
        <v>13114</v>
      </c>
      <c r="C122">
        <f>IF(Sheet1!U122="HEAVY",2,1)</f>
        <v>2</v>
      </c>
      <c r="D122" t="str">
        <f>Sheet1!C122</f>
        <v>SE_OUT_FLIP_P2_VACUUM_OVERLAP</v>
      </c>
      <c r="E122" t="s">
        <v>105</v>
      </c>
      <c r="F122" t="str">
        <f>Sheet1!W122</f>
        <v>OUT_FLIP</v>
      </c>
      <c r="G122" t="str">
        <f>Sheet1!E122</f>
        <v>OUT플립 P2 셀 겹침 확인되었습니다 (진공)</v>
      </c>
    </row>
    <row r="123" spans="1:7" x14ac:dyDescent="0.3">
      <c r="A123">
        <f t="shared" si="1"/>
        <v>122</v>
      </c>
      <c r="B123">
        <f>Sheet1!A123</f>
        <v>13115</v>
      </c>
      <c r="C123">
        <f>IF(Sheet1!U123="HEAVY",2,1)</f>
        <v>2</v>
      </c>
      <c r="D123" t="str">
        <f>Sheet1!C123</f>
        <v>SE_OUT_FLIP_P2_SENSOR_OVERLAP</v>
      </c>
      <c r="E123" t="s">
        <v>105</v>
      </c>
      <c r="F123" t="str">
        <f>Sheet1!W123</f>
        <v>OUT_FLIP</v>
      </c>
      <c r="G123" t="str">
        <f>Sheet1!E123</f>
        <v>OUT플립 P2 셀 겹침 확인되었습니다 (센서)</v>
      </c>
    </row>
    <row r="124" spans="1:7" x14ac:dyDescent="0.3">
      <c r="A124">
        <f t="shared" si="1"/>
        <v>123</v>
      </c>
      <c r="B124">
        <f>Sheet1!A124</f>
        <v>13500</v>
      </c>
      <c r="C124">
        <f>IF(Sheet1!U124="HEAVY",2,1)</f>
        <v>2</v>
      </c>
      <c r="D124" t="str">
        <f>Sheet1!C124</f>
        <v>MO_UNLOADER_CONVEYOR_X2_HOME_MOTION</v>
      </c>
      <c r="E124" t="s">
        <v>105</v>
      </c>
      <c r="F124" t="str">
        <f>Sheet1!W124</f>
        <v>OUT_CONVEYOR</v>
      </c>
      <c r="G124" t="str">
        <f>Sheet1!E124</f>
        <v>OUT컨베이어 X2축이 홈 동작 진행에 실패 했습니다</v>
      </c>
    </row>
    <row r="125" spans="1:7" x14ac:dyDescent="0.3">
      <c r="A125">
        <f t="shared" si="1"/>
        <v>124</v>
      </c>
      <c r="B125">
        <f>Sheet1!A125</f>
        <v>13501</v>
      </c>
      <c r="C125">
        <f>IF(Sheet1!U125="HEAVY",2,1)</f>
        <v>2</v>
      </c>
      <c r="D125" t="str">
        <f>Sheet1!C125</f>
        <v>MO_UNLOADER_CONVEYOR_X2_POSITION_RESET</v>
      </c>
      <c r="E125" t="s">
        <v>105</v>
      </c>
      <c r="F125" t="str">
        <f>Sheet1!W125</f>
        <v>OUT_CONVEYOR</v>
      </c>
      <c r="G125" t="str">
        <f>Sheet1!E125</f>
        <v>OUT컨베이어 X2축 포지션 초기화 동작에 실패 했습니다</v>
      </c>
    </row>
    <row r="126" spans="1:7" x14ac:dyDescent="0.3">
      <c r="A126">
        <f t="shared" si="1"/>
        <v>125</v>
      </c>
      <c r="B126">
        <f>Sheet1!A126</f>
        <v>13502</v>
      </c>
      <c r="C126">
        <f>IF(Sheet1!U126="HEAVY",2,1)</f>
        <v>2</v>
      </c>
      <c r="D126" t="str">
        <f>Sheet1!C126</f>
        <v>MO_UNLOADER_CONVEYOR_X2_UNLOAD_MOVE</v>
      </c>
      <c r="E126" t="s">
        <v>105</v>
      </c>
      <c r="F126" t="str">
        <f>Sheet1!W126</f>
        <v>OUT_CONVEYOR</v>
      </c>
      <c r="G126" t="str">
        <f>Sheet1!E126</f>
        <v>OUT컨베이어 X2축이 언로드 위치 이동에 실패 했습니다 (하류설비 위치)</v>
      </c>
    </row>
    <row r="127" spans="1:7" x14ac:dyDescent="0.3">
      <c r="A127">
        <f t="shared" si="1"/>
        <v>126</v>
      </c>
      <c r="B127">
        <f>Sheet1!A127</f>
        <v>13503</v>
      </c>
      <c r="C127">
        <f>IF(Sheet1!U127="HEAVY",2,1)</f>
        <v>2</v>
      </c>
      <c r="D127" t="str">
        <f>Sheet1!C127</f>
        <v>SE_UNLOADER_CONVEYOR_N_CELL_EXIST_CHECK</v>
      </c>
      <c r="E127" t="s">
        <v>105</v>
      </c>
      <c r="F127" t="str">
        <f>Sheet1!W127</f>
        <v>OUT_CONVEYOR</v>
      </c>
      <c r="G127" t="str">
        <f>Sheet1!E127</f>
        <v>OUT컨베이어 센서에 셀을 감지했습니다.</v>
      </c>
    </row>
    <row r="128" spans="1:7" x14ac:dyDescent="0.3">
      <c r="A128">
        <f t="shared" si="1"/>
        <v>127</v>
      </c>
      <c r="B128">
        <f>Sheet1!A128</f>
        <v>13504</v>
      </c>
      <c r="C128">
        <f>IF(Sheet1!U128="HEAVY",2,1)</f>
        <v>2</v>
      </c>
      <c r="D128" t="str">
        <f>Sheet1!C128</f>
        <v>SE_UNLOADER_CONVEYOR_N_OUTPUT_BLOCKED_CHECK</v>
      </c>
      <c r="E128" t="s">
        <v>105</v>
      </c>
      <c r="F128" t="str">
        <f>Sheet1!W128</f>
        <v>OUT_CONVEYOR</v>
      </c>
      <c r="G128" t="str">
        <f>Sheet1!E128</f>
        <v>OUT컨베이어 배출 센서에 자재 쌓임을 감지했습니다.</v>
      </c>
    </row>
    <row r="129" spans="1:7" x14ac:dyDescent="0.3">
      <c r="A129">
        <f t="shared" si="1"/>
        <v>128</v>
      </c>
      <c r="B129">
        <f>Sheet1!A129</f>
        <v>13505</v>
      </c>
      <c r="C129">
        <f>IF(Sheet1!U129="HEAVY",2,1)</f>
        <v>2</v>
      </c>
      <c r="D129" t="str">
        <f>Sheet1!C129</f>
        <v>SE_UNLOADER_CONVEYOR_P1_CELL_NOT_EXIST_CHECK</v>
      </c>
      <c r="E129" t="s">
        <v>105</v>
      </c>
      <c r="F129" t="str">
        <f>Sheet1!W129</f>
        <v>OUT_CONVEYOR</v>
      </c>
      <c r="G129" t="str">
        <f>Sheet1!E129</f>
        <v>OUT컨베이어 P1 센서에 셀이 감지되지 않았습니다.</v>
      </c>
    </row>
    <row r="130" spans="1:7" x14ac:dyDescent="0.3">
      <c r="A130">
        <f t="shared" si="1"/>
        <v>129</v>
      </c>
      <c r="B130">
        <f>Sheet1!A130</f>
        <v>13506</v>
      </c>
      <c r="C130">
        <f>IF(Sheet1!U130="HEAVY",2,1)</f>
        <v>2</v>
      </c>
      <c r="D130" t="str">
        <f>Sheet1!C130</f>
        <v>SE_UNLOADER_CONVEYOR_P2_CELL_NOT_EXIST_CHECK</v>
      </c>
      <c r="E130" t="s">
        <v>105</v>
      </c>
      <c r="F130" t="str">
        <f>Sheet1!W130</f>
        <v>OUT_CONVEYOR</v>
      </c>
      <c r="G130" t="str">
        <f>Sheet1!E130</f>
        <v>OUT컨베이어 P2 센서에 셀이 감지되지 않았습니다.</v>
      </c>
    </row>
    <row r="131" spans="1:7" x14ac:dyDescent="0.3">
      <c r="A131">
        <f t="shared" ref="A131:A194" si="2">IF(B131=" "," ",ROW(A131)-1)</f>
        <v>130</v>
      </c>
      <c r="B131">
        <f>Sheet1!A131</f>
        <v>13507</v>
      </c>
      <c r="C131">
        <f>IF(Sheet1!U131="HEAVY",2,1)</f>
        <v>2</v>
      </c>
      <c r="D131" t="str">
        <f>Sheet1!C131</f>
        <v>SE_UNLOADER_CONVEYOR_ALL_CELL_NOT_EXIST_CHECK</v>
      </c>
      <c r="E131" t="s">
        <v>105</v>
      </c>
      <c r="F131" t="str">
        <f>Sheet1!W131</f>
        <v>OUT_CONVEYOR</v>
      </c>
      <c r="G131" t="str">
        <f>Sheet1!E131</f>
        <v>OUT컨베이어 P1 P2 센서에 셀이 감지되지 않았습니다.</v>
      </c>
    </row>
    <row r="132" spans="1:7" x14ac:dyDescent="0.3">
      <c r="A132">
        <f t="shared" si="2"/>
        <v>131</v>
      </c>
      <c r="B132">
        <f>Sheet1!A132</f>
        <v>14000</v>
      </c>
      <c r="C132">
        <f>IF(Sheet1!U132="HEAVY",2,1)</f>
        <v>2</v>
      </c>
      <c r="D132" t="str">
        <f>Sheet1!C132</f>
        <v>EM_LOWER_EQUIPMENT_N_EMERGENCY_STATE</v>
      </c>
      <c r="E132" t="s">
        <v>105</v>
      </c>
      <c r="F132" t="str">
        <f>Sheet1!W132</f>
        <v>UNLOAD_EQ_TO_EQ</v>
      </c>
      <c r="G132" t="str">
        <f>Sheet1!E132</f>
        <v>하류설비에서 EMERGENCY가 발생했습니다</v>
      </c>
    </row>
    <row r="133" spans="1:7" x14ac:dyDescent="0.3">
      <c r="A133">
        <f t="shared" si="2"/>
        <v>132</v>
      </c>
      <c r="B133">
        <f>Sheet1!A133</f>
        <v>14001</v>
      </c>
      <c r="C133">
        <f>IF(Sheet1!U133="HEAVY",2,1)</f>
        <v>1</v>
      </c>
      <c r="D133" t="str">
        <f>Sheet1!C133</f>
        <v>EM_LOWER_EQUIPMENT_DOOR_OPEN</v>
      </c>
      <c r="E133" t="s">
        <v>105</v>
      </c>
      <c r="F133" t="str">
        <f>Sheet1!W133</f>
        <v>UNLOAD_EQ_TO_EQ</v>
      </c>
      <c r="G133" t="str">
        <f>Sheet1!E133</f>
        <v>하류설비에 DOOR가 열렸습니다</v>
      </c>
    </row>
    <row r="134" spans="1:7" x14ac:dyDescent="0.3">
      <c r="A134">
        <f t="shared" si="2"/>
        <v>133</v>
      </c>
      <c r="B134">
        <f>Sheet1!A134</f>
        <v>20000</v>
      </c>
      <c r="C134">
        <f>IF(Sheet1!U134="HEAVY",2,1)</f>
        <v>1</v>
      </c>
      <c r="D134" t="str">
        <f>Sheet1!C134</f>
        <v>VI_LOADER_MCR_P1_GRAB_TIMEOUT</v>
      </c>
      <c r="E134" t="s">
        <v>105</v>
      </c>
      <c r="F134" t="str">
        <f>Sheet1!W134</f>
        <v>MCR</v>
      </c>
      <c r="G134" t="str">
        <f>Sheet1!E134</f>
        <v>MCR P1 촬상에 실패 했습니다</v>
      </c>
    </row>
    <row r="135" spans="1:7" x14ac:dyDescent="0.3">
      <c r="A135">
        <f t="shared" si="2"/>
        <v>134</v>
      </c>
      <c r="B135">
        <f>Sheet1!A135</f>
        <v>20001</v>
      </c>
      <c r="C135">
        <f>IF(Sheet1!U135="HEAVY",2,1)</f>
        <v>1</v>
      </c>
      <c r="D135" t="str">
        <f>Sheet1!C135</f>
        <v>VI_LOADER_MCR_P1_RESULT_TIMEOUT</v>
      </c>
      <c r="E135" t="s">
        <v>105</v>
      </c>
      <c r="F135" t="str">
        <f>Sheet1!W135</f>
        <v>MCR</v>
      </c>
      <c r="G135" t="str">
        <f>Sheet1!E135</f>
        <v>MCR P1 결과 대기 시간을 초과 했습니다</v>
      </c>
    </row>
    <row r="136" spans="1:7" x14ac:dyDescent="0.3">
      <c r="A136">
        <f t="shared" si="2"/>
        <v>135</v>
      </c>
      <c r="B136">
        <f>Sheet1!A136</f>
        <v>20002</v>
      </c>
      <c r="C136">
        <f>IF(Sheet1!U136="HEAVY",2,1)</f>
        <v>2</v>
      </c>
      <c r="D136" t="str">
        <f>Sheet1!C136</f>
        <v>VI_LOADER_MCR_P1_CONTINUOUS_FAILURE</v>
      </c>
      <c r="E136" t="s">
        <v>105</v>
      </c>
      <c r="F136" t="str">
        <f>Sheet1!W136</f>
        <v>MCR</v>
      </c>
      <c r="G136" t="str">
        <f>Sheet1!E136</f>
        <v>MCR P1 촬상을 연속으로 실패 했습니다</v>
      </c>
    </row>
    <row r="137" spans="1:7" x14ac:dyDescent="0.3">
      <c r="A137">
        <f t="shared" si="2"/>
        <v>136</v>
      </c>
      <c r="B137">
        <f>Sheet1!A137</f>
        <v>20010</v>
      </c>
      <c r="C137">
        <f>IF(Sheet1!U137="HEAVY",2,1)</f>
        <v>1</v>
      </c>
      <c r="D137" t="str">
        <f>Sheet1!C137</f>
        <v>VI_LOADER_MCR_P2_GRAB_TIMEOUT</v>
      </c>
      <c r="E137" t="s">
        <v>105</v>
      </c>
      <c r="F137" t="str">
        <f>Sheet1!W137</f>
        <v>MCR</v>
      </c>
      <c r="G137" t="str">
        <f>Sheet1!E137</f>
        <v>MCR P2 촬상에 실패 했습니다</v>
      </c>
    </row>
    <row r="138" spans="1:7" x14ac:dyDescent="0.3">
      <c r="A138">
        <f t="shared" si="2"/>
        <v>137</v>
      </c>
      <c r="B138">
        <f>Sheet1!A138</f>
        <v>20011</v>
      </c>
      <c r="C138">
        <f>IF(Sheet1!U138="HEAVY",2,1)</f>
        <v>1</v>
      </c>
      <c r="D138" t="str">
        <f>Sheet1!C138</f>
        <v>VI_LOADER_MCR_P2_RESULT_TIMEOUT</v>
      </c>
      <c r="E138" t="s">
        <v>105</v>
      </c>
      <c r="F138" t="str">
        <f>Sheet1!W138</f>
        <v>MCR</v>
      </c>
      <c r="G138" t="str">
        <f>Sheet1!E138</f>
        <v>MCR P2 결과 대기 시간을 초과 했습니다</v>
      </c>
    </row>
    <row r="139" spans="1:7" x14ac:dyDescent="0.3">
      <c r="A139">
        <f t="shared" si="2"/>
        <v>138</v>
      </c>
      <c r="B139">
        <f>Sheet1!A139</f>
        <v>20012</v>
      </c>
      <c r="C139">
        <f>IF(Sheet1!U139="HEAVY",2,1)</f>
        <v>2</v>
      </c>
      <c r="D139" t="str">
        <f>Sheet1!C139</f>
        <v>VI_LOADER_MCR_P2_CONTINUOUS_FAILURE</v>
      </c>
      <c r="E139" t="s">
        <v>105</v>
      </c>
      <c r="F139" t="str">
        <f>Sheet1!W139</f>
        <v>MCR</v>
      </c>
      <c r="G139" t="str">
        <f>Sheet1!E139</f>
        <v>MCR P2 촬상을 연속으로 실패 했습니다</v>
      </c>
    </row>
    <row r="140" spans="1:7" x14ac:dyDescent="0.3">
      <c r="A140">
        <f t="shared" si="2"/>
        <v>139</v>
      </c>
      <c r="B140">
        <f>Sheet1!A140</f>
        <v>20500</v>
      </c>
      <c r="C140">
        <f>IF(Sheet1!U140="HEAVY",2,1)</f>
        <v>2</v>
      </c>
      <c r="D140" t="str">
        <f>Sheet1!C140</f>
        <v>CO_PRE_ALIGN_N_DISCONNECTED</v>
      </c>
      <c r="E140" t="s">
        <v>105</v>
      </c>
      <c r="F140" t="str">
        <f>Sheet1!W140</f>
        <v>PRE_ALIGN_VISION</v>
      </c>
      <c r="G140" t="str">
        <f>Sheet1!E140</f>
        <v>프리얼라인 Program 통신 연결이 끊어 졌습니다</v>
      </c>
    </row>
    <row r="141" spans="1:7" x14ac:dyDescent="0.3">
      <c r="A141">
        <f t="shared" si="2"/>
        <v>140</v>
      </c>
      <c r="B141">
        <f>Sheet1!A141</f>
        <v>20501</v>
      </c>
      <c r="C141">
        <f>IF(Sheet1!U141="HEAVY",2,1)</f>
        <v>2</v>
      </c>
      <c r="D141" t="str">
        <f>Sheet1!C141</f>
        <v>VI_PRE_ALIGN_N_RECEIVE_ALIGN_ERROR</v>
      </c>
      <c r="E141" t="s">
        <v>105</v>
      </c>
      <c r="F141" t="str">
        <f>Sheet1!W141</f>
        <v>PRE_ALIGN_VISION</v>
      </c>
      <c r="G141" t="str">
        <f>Sheet1!E141</f>
        <v>프리얼라인 Program에 에러가 발생했습니다</v>
      </c>
    </row>
    <row r="142" spans="1:7" x14ac:dyDescent="0.3">
      <c r="A142">
        <f t="shared" si="2"/>
        <v>141</v>
      </c>
      <c r="B142">
        <f>Sheet1!A142</f>
        <v>20502</v>
      </c>
      <c r="C142">
        <f>IF(Sheet1!U142="HEAVY",2,1)</f>
        <v>2</v>
      </c>
      <c r="D142" t="str">
        <f>Sheet1!C142</f>
        <v>VI_PRE_ALIGN_N_MODEL_LIST_TIMEOUT</v>
      </c>
      <c r="E142" t="s">
        <v>105</v>
      </c>
      <c r="F142" t="str">
        <f>Sheet1!W142</f>
        <v>PRE_ALIGN_VISION</v>
      </c>
      <c r="G142" t="str">
        <f>Sheet1!E142</f>
        <v>프리얼라인 Program 모델 리스트 요청 응답 대기 시간을 초과 했습니다</v>
      </c>
    </row>
    <row r="143" spans="1:7" x14ac:dyDescent="0.3">
      <c r="A143">
        <f t="shared" si="2"/>
        <v>142</v>
      </c>
      <c r="B143">
        <f>Sheet1!A143</f>
        <v>20503</v>
      </c>
      <c r="C143">
        <f>IF(Sheet1!U143="HEAVY",2,1)</f>
        <v>2</v>
      </c>
      <c r="D143" t="str">
        <f>Sheet1!C143</f>
        <v>VI_PRE_ALIGN_N_MODEL_NOT_FOUND</v>
      </c>
      <c r="E143" t="s">
        <v>105</v>
      </c>
      <c r="F143" t="str">
        <f>Sheet1!W143</f>
        <v>PRE_ALIGN_VISION</v>
      </c>
      <c r="G143" t="str">
        <f>Sheet1!E143</f>
        <v>프리얼라인 Program에 현재 모델 정보가 등록되어 있지 않습니다</v>
      </c>
    </row>
    <row r="144" spans="1:7" x14ac:dyDescent="0.3">
      <c r="A144">
        <f t="shared" si="2"/>
        <v>143</v>
      </c>
      <c r="B144">
        <f>Sheet1!A144</f>
        <v>20504</v>
      </c>
      <c r="C144">
        <f>IF(Sheet1!U144="HEAVY",2,1)</f>
        <v>2</v>
      </c>
      <c r="D144" t="str">
        <f>Sheet1!C144</f>
        <v>VI_PRE_ALIGN_START_TIMEOUT</v>
      </c>
      <c r="E144" t="s">
        <v>105</v>
      </c>
      <c r="F144" t="str">
        <f>Sheet1!W144</f>
        <v>PRE_ALIGN_VISION</v>
      </c>
      <c r="G144" t="str">
        <f>Sheet1!E144</f>
        <v>프리얼라인 촬상 시작 응답 대기 시간을 초과 했습니다</v>
      </c>
    </row>
    <row r="145" spans="1:7" x14ac:dyDescent="0.3">
      <c r="A145">
        <f t="shared" si="2"/>
        <v>144</v>
      </c>
      <c r="B145">
        <f>Sheet1!A145</f>
        <v>20505</v>
      </c>
      <c r="C145">
        <f>IF(Sheet1!U145="HEAVY",2,1)</f>
        <v>2</v>
      </c>
      <c r="D145" t="str">
        <f>Sheet1!C145</f>
        <v>VI_PRE_ALIGN_COMPLETE_TIMEOUT</v>
      </c>
      <c r="E145" t="s">
        <v>105</v>
      </c>
      <c r="F145" t="str">
        <f>Sheet1!W145</f>
        <v>PRE_ALIGN_VISION</v>
      </c>
      <c r="G145" t="str">
        <f>Sheet1!E145</f>
        <v>프리얼라인 촬상 완료 대기 시간을 초과 했습니다</v>
      </c>
    </row>
    <row r="146" spans="1:7" x14ac:dyDescent="0.3">
      <c r="A146">
        <f t="shared" si="2"/>
        <v>145</v>
      </c>
      <c r="B146">
        <f>Sheet1!A146</f>
        <v>20506</v>
      </c>
      <c r="C146">
        <f>IF(Sheet1!U146="HEAVY",2,1)</f>
        <v>2</v>
      </c>
      <c r="D146" t="str">
        <f>Sheet1!C146</f>
        <v>CO_PRE_ALIGN_COMPLETE_VALIDATION_FAIL</v>
      </c>
      <c r="E146" t="s">
        <v>105</v>
      </c>
      <c r="F146" t="str">
        <f>Sheet1!W146</f>
        <v>PRE_ALIGN_VISION</v>
      </c>
      <c r="G146" t="str">
        <f>Sheet1!E146</f>
        <v>프리얼라인 촬상 완료 데이터 정합성이 맞지 않습니다</v>
      </c>
    </row>
    <row r="147" spans="1:7" x14ac:dyDescent="0.3">
      <c r="A147">
        <f t="shared" si="2"/>
        <v>146</v>
      </c>
      <c r="B147">
        <f>Sheet1!A147</f>
        <v>20507</v>
      </c>
      <c r="C147">
        <f>IF(Sheet1!U147="HEAVY",2,1)</f>
        <v>2</v>
      </c>
      <c r="D147" t="str">
        <f>Sheet1!C147</f>
        <v>VI_PRE_ALIGN_P1_OVERRANGE_X</v>
      </c>
      <c r="E147" t="s">
        <v>105</v>
      </c>
      <c r="F147" t="str">
        <f>Sheet1!W147</f>
        <v>PRE_ALIGN_VISION</v>
      </c>
      <c r="G147" t="str">
        <f>Sheet1!E147</f>
        <v>프리얼라인 P1 X 총 보정량이 인터락 범위를 초과 했습니다</v>
      </c>
    </row>
    <row r="148" spans="1:7" x14ac:dyDescent="0.3">
      <c r="A148">
        <f t="shared" si="2"/>
        <v>147</v>
      </c>
      <c r="B148">
        <f>Sheet1!A148</f>
        <v>20508</v>
      </c>
      <c r="C148">
        <f>IF(Sheet1!U148="HEAVY",2,1)</f>
        <v>2</v>
      </c>
      <c r="D148" t="str">
        <f>Sheet1!C148</f>
        <v>VI_PRE_ALIGN_P1_OVERRANGE_Y</v>
      </c>
      <c r="E148" t="s">
        <v>105</v>
      </c>
      <c r="F148" t="str">
        <f>Sheet1!W148</f>
        <v>PRE_ALIGN_VISION</v>
      </c>
      <c r="G148" t="str">
        <f>Sheet1!E148</f>
        <v>프리얼라인 P1 Y 총 보정량이 인터락 범위를 초과 했습니다</v>
      </c>
    </row>
    <row r="149" spans="1:7" x14ac:dyDescent="0.3">
      <c r="A149">
        <f t="shared" si="2"/>
        <v>148</v>
      </c>
      <c r="B149">
        <f>Sheet1!A149</f>
        <v>20509</v>
      </c>
      <c r="C149">
        <f>IF(Sheet1!U149="HEAVY",2,1)</f>
        <v>2</v>
      </c>
      <c r="D149" t="str">
        <f>Sheet1!C149</f>
        <v>VI_PRE_ALIGN_P1_OVERRANGE_T</v>
      </c>
      <c r="E149" t="s">
        <v>105</v>
      </c>
      <c r="F149" t="str">
        <f>Sheet1!W149</f>
        <v>PRE_ALIGN_VISION</v>
      </c>
      <c r="G149" t="str">
        <f>Sheet1!E149</f>
        <v>프리얼라인 P1 T 총 보정량이 인터락 범위를 초과 했습니다</v>
      </c>
    </row>
    <row r="150" spans="1:7" x14ac:dyDescent="0.3">
      <c r="A150">
        <f t="shared" si="2"/>
        <v>149</v>
      </c>
      <c r="B150">
        <f>Sheet1!A150</f>
        <v>20510</v>
      </c>
      <c r="C150">
        <f>IF(Sheet1!U150="HEAVY",2,1)</f>
        <v>2</v>
      </c>
      <c r="D150" t="str">
        <f>Sheet1!C150</f>
        <v>VI_PRE_ALIGN_P1_OVERRANGE_SCORE</v>
      </c>
      <c r="E150" t="s">
        <v>105</v>
      </c>
      <c r="F150" t="str">
        <f>Sheet1!W150</f>
        <v>PRE_ALIGN_VISION</v>
      </c>
      <c r="G150" t="str">
        <f>Sheet1!E150</f>
        <v>프리얼라인 P1 카메라 그랩 스코어가 설정값 보다 낮습니다</v>
      </c>
    </row>
    <row r="151" spans="1:7" x14ac:dyDescent="0.3">
      <c r="A151">
        <f t="shared" si="2"/>
        <v>150</v>
      </c>
      <c r="B151">
        <f>Sheet1!A151</f>
        <v>20511</v>
      </c>
      <c r="C151">
        <f>IF(Sheet1!U151="HEAVY",2,1)</f>
        <v>2</v>
      </c>
      <c r="D151" t="str">
        <f>Sheet1!C151</f>
        <v>VI_PRE_ALIGN_P2_OVERRANGE_X</v>
      </c>
      <c r="E151" t="s">
        <v>105</v>
      </c>
      <c r="F151" t="str">
        <f>Sheet1!W151</f>
        <v>PRE_ALIGN_VISION</v>
      </c>
      <c r="G151" t="str">
        <f>Sheet1!E151</f>
        <v>프리얼라인 P2 X 총 보정량이 인터락 범위를 초과 했습니다</v>
      </c>
    </row>
    <row r="152" spans="1:7" x14ac:dyDescent="0.3">
      <c r="A152">
        <f t="shared" si="2"/>
        <v>151</v>
      </c>
      <c r="B152">
        <f>Sheet1!A152</f>
        <v>20512</v>
      </c>
      <c r="C152">
        <f>IF(Sheet1!U152="HEAVY",2,1)</f>
        <v>2</v>
      </c>
      <c r="D152" t="str">
        <f>Sheet1!C152</f>
        <v>VI_PRE_ALIGN_P2_OVERRANGE_Y</v>
      </c>
      <c r="E152" t="s">
        <v>105</v>
      </c>
      <c r="F152" t="str">
        <f>Sheet1!W152</f>
        <v>PRE_ALIGN_VISION</v>
      </c>
      <c r="G152" t="str">
        <f>Sheet1!E152</f>
        <v>프리얼라인 P2 Y 총 보정량이 인터락 범위를 초과 했습니다</v>
      </c>
    </row>
    <row r="153" spans="1:7" x14ac:dyDescent="0.3">
      <c r="A153">
        <f t="shared" si="2"/>
        <v>152</v>
      </c>
      <c r="B153">
        <f>Sheet1!A153</f>
        <v>20513</v>
      </c>
      <c r="C153">
        <f>IF(Sheet1!U153="HEAVY",2,1)</f>
        <v>2</v>
      </c>
      <c r="D153" t="str">
        <f>Sheet1!C153</f>
        <v>VI_PRE_ALIGN_P2_OVERRANGE_T</v>
      </c>
      <c r="E153" t="s">
        <v>105</v>
      </c>
      <c r="F153" t="str">
        <f>Sheet1!W153</f>
        <v>PRE_ALIGN_VISION</v>
      </c>
      <c r="G153" t="str">
        <f>Sheet1!E153</f>
        <v>프리얼라인 P2 T 총 보정량이 인터락 범위를 초과 했습니다</v>
      </c>
    </row>
    <row r="154" spans="1:7" x14ac:dyDescent="0.3">
      <c r="A154">
        <f t="shared" si="2"/>
        <v>153</v>
      </c>
      <c r="B154">
        <f>Sheet1!A154</f>
        <v>20514</v>
      </c>
      <c r="C154">
        <f>IF(Sheet1!U154="HEAVY",2,1)</f>
        <v>2</v>
      </c>
      <c r="D154" t="str">
        <f>Sheet1!C154</f>
        <v>VI_PRE_ALIGN_P2_OVERRANGE_SCORE</v>
      </c>
      <c r="E154" t="s">
        <v>105</v>
      </c>
      <c r="F154" t="str">
        <f>Sheet1!W154</f>
        <v>PRE_ALIGN_VISION</v>
      </c>
      <c r="G154" t="str">
        <f>Sheet1!E154</f>
        <v>프리얼라인 P2 카메라 그랩 스코어가 설정값 보다 낮습니다</v>
      </c>
    </row>
    <row r="155" spans="1:7" x14ac:dyDescent="0.3">
      <c r="A155">
        <f t="shared" si="2"/>
        <v>154</v>
      </c>
      <c r="B155">
        <f>Sheet1!A155</f>
        <v>20515</v>
      </c>
      <c r="C155">
        <f>IF(Sheet1!U155="HEAVY",2,1)</f>
        <v>2</v>
      </c>
      <c r="D155" t="str">
        <f>Sheet1!C155</f>
        <v>VI_PRE_ALIGN_RETRY_COUNTOVER</v>
      </c>
      <c r="E155" t="s">
        <v>105</v>
      </c>
      <c r="F155" t="str">
        <f>Sheet1!W155</f>
        <v>PRE_ALIGN_VISION</v>
      </c>
      <c r="G155" t="str">
        <f>Sheet1!E155</f>
        <v>프리얼라인 카메라 재시도 횟수를 초과 했습니다</v>
      </c>
    </row>
    <row r="156" spans="1:7" x14ac:dyDescent="0.3">
      <c r="A156">
        <f t="shared" si="2"/>
        <v>155</v>
      </c>
      <c r="B156">
        <f>Sheet1!A156</f>
        <v>20550</v>
      </c>
      <c r="C156">
        <f>IF(Sheet1!U156="HEAVY",2,1)</f>
        <v>2</v>
      </c>
      <c r="D156" t="str">
        <f>Sheet1!C156</f>
        <v>VI_PRE_ALIGN_ERROR_SYSTEM_NOT_RUNNING</v>
      </c>
      <c r="E156" t="s">
        <v>105</v>
      </c>
      <c r="F156" t="str">
        <f>Sheet1!W156</f>
        <v>PRE_ALIGN_VISION</v>
      </c>
      <c r="G156" t="str">
        <f>Sheet1!E156</f>
        <v>프리얼라인 시스템이 정지 상태입니다</v>
      </c>
    </row>
    <row r="157" spans="1:7" x14ac:dyDescent="0.3">
      <c r="A157">
        <f t="shared" si="2"/>
        <v>156</v>
      </c>
      <c r="B157">
        <f>Sheet1!A157</f>
        <v>20551</v>
      </c>
      <c r="C157">
        <f>IF(Sheet1!U157="HEAVY",2,1)</f>
        <v>2</v>
      </c>
      <c r="D157" t="str">
        <f>Sheet1!C157</f>
        <v>VI_PRE_ALIGN_ERROR_CAMERA</v>
      </c>
      <c r="E157" t="s">
        <v>105</v>
      </c>
      <c r="F157" t="str">
        <f>Sheet1!W157</f>
        <v>PRE_ALIGN_VISION</v>
      </c>
      <c r="G157" t="str">
        <f>Sheet1!E157</f>
        <v>프리얼라인 카메라에 이상이 발생했습니다</v>
      </c>
    </row>
    <row r="158" spans="1:7" x14ac:dyDescent="0.3">
      <c r="A158">
        <f t="shared" si="2"/>
        <v>157</v>
      </c>
      <c r="B158">
        <f>Sheet1!A158</f>
        <v>20552</v>
      </c>
      <c r="C158">
        <f>IF(Sheet1!U158="HEAVY",2,1)</f>
        <v>2</v>
      </c>
      <c r="D158" t="str">
        <f>Sheet1!C158</f>
        <v>VI_PRE_ALIGN_ERROR_LIGHT_CONTROLLER</v>
      </c>
      <c r="E158" t="s">
        <v>105</v>
      </c>
      <c r="F158" t="str">
        <f>Sheet1!W158</f>
        <v>PRE_ALIGN_VISION</v>
      </c>
      <c r="G158" t="str">
        <f>Sheet1!E158</f>
        <v>프리얼라인 조명 컨트롤러에 이상이 발생했습니다</v>
      </c>
    </row>
    <row r="159" spans="1:7" x14ac:dyDescent="0.3">
      <c r="A159">
        <f t="shared" si="2"/>
        <v>158</v>
      </c>
      <c r="B159">
        <f>Sheet1!A159</f>
        <v>20553</v>
      </c>
      <c r="C159">
        <f>IF(Sheet1!U159="HEAVY",2,1)</f>
        <v>2</v>
      </c>
      <c r="D159" t="str">
        <f>Sheet1!C159</f>
        <v>VI_PRE_ALIGN_ERROR_LIGHT_TEMP_OVER</v>
      </c>
      <c r="E159" t="s">
        <v>105</v>
      </c>
      <c r="F159" t="str">
        <f>Sheet1!W159</f>
        <v>PRE_ALIGN_VISION</v>
      </c>
      <c r="G159" t="str">
        <f>Sheet1!E159</f>
        <v>프리얼라인 조명이 정상 온도를 벗어났습니다</v>
      </c>
    </row>
    <row r="160" spans="1:7" x14ac:dyDescent="0.3">
      <c r="A160">
        <f t="shared" si="2"/>
        <v>159</v>
      </c>
      <c r="B160">
        <f>Sheet1!A160</f>
        <v>21000</v>
      </c>
      <c r="C160">
        <f>IF(Sheet1!U160="HEAVY",2,1)</f>
        <v>2</v>
      </c>
      <c r="D160" t="str">
        <f>Sheet1!C160</f>
        <v>CO_INSP_PC_MAIN_N_DISCONNECTED</v>
      </c>
      <c r="E160" t="s">
        <v>105</v>
      </c>
      <c r="F160" t="str">
        <f>Sheet1!W160</f>
        <v>INSPECT_VISION</v>
      </c>
      <c r="G160" t="str">
        <f>Sheet1!E160</f>
        <v>외관 검사기 통신 연결이 끊어 졌습니다</v>
      </c>
    </row>
    <row r="161" spans="1:7" x14ac:dyDescent="0.3">
      <c r="A161">
        <f t="shared" si="2"/>
        <v>160</v>
      </c>
      <c r="B161">
        <f>Sheet1!A161</f>
        <v>21001</v>
      </c>
      <c r="C161">
        <f>IF(Sheet1!U161="HEAVY",2,1)</f>
        <v>2</v>
      </c>
      <c r="D161" t="str">
        <f>Sheet1!C161</f>
        <v>CO_INSP_PC_MAIN_LIGHT_INTENCITY_REQUEST</v>
      </c>
      <c r="E161" t="s">
        <v>105</v>
      </c>
      <c r="F161" t="str">
        <f>Sheet1!W161</f>
        <v>INSPECT_VISION</v>
      </c>
      <c r="G161" t="str">
        <f>Sheet1!E161</f>
        <v>외관 검사 조명 광량 요청 Send 실패 하였습니다</v>
      </c>
    </row>
    <row r="162" spans="1:7" x14ac:dyDescent="0.3">
      <c r="A162">
        <f t="shared" si="2"/>
        <v>161</v>
      </c>
      <c r="B162">
        <f>Sheet1!A162</f>
        <v>21002</v>
      </c>
      <c r="C162">
        <f>IF(Sheet1!U162="HEAVY",2,1)</f>
        <v>2</v>
      </c>
      <c r="D162" t="str">
        <f>Sheet1!C162</f>
        <v>CO_INSP_PC_MAIN_LIGHT_TEMPERATURE_REQUEST</v>
      </c>
      <c r="E162" t="s">
        <v>105</v>
      </c>
      <c r="F162" t="str">
        <f>Sheet1!W162</f>
        <v>INSPECT_VISION</v>
      </c>
      <c r="G162" t="str">
        <f>Sheet1!E162</f>
        <v>외관 검사기 조명 온도 요청 Send 실패 하였습니다</v>
      </c>
    </row>
    <row r="163" spans="1:7" x14ac:dyDescent="0.3">
      <c r="A163">
        <f t="shared" si="2"/>
        <v>162</v>
      </c>
      <c r="B163">
        <f>Sheet1!A163</f>
        <v>21003</v>
      </c>
      <c r="C163">
        <f>IF(Sheet1!U163="HEAVY",2,1)</f>
        <v>2</v>
      </c>
      <c r="D163" t="str">
        <f>Sheet1!C163</f>
        <v>CO_INSP_PC_MAIN_CHECK_STATUS_SEND</v>
      </c>
      <c r="E163" t="s">
        <v>105</v>
      </c>
      <c r="F163" t="str">
        <f>Sheet1!W163</f>
        <v>INSPECT_VISION</v>
      </c>
      <c r="G163" t="str">
        <f>Sheet1!E163</f>
        <v>외관 검사기 인터페이스 상태 확인 Send 실패 하였습니다</v>
      </c>
    </row>
    <row r="164" spans="1:7" x14ac:dyDescent="0.3">
      <c r="A164">
        <f t="shared" si="2"/>
        <v>163</v>
      </c>
      <c r="B164">
        <f>Sheet1!A164</f>
        <v>21004</v>
      </c>
      <c r="C164">
        <f>IF(Sheet1!U164="HEAVY",2,1)</f>
        <v>2</v>
      </c>
      <c r="D164" t="str">
        <f>Sheet1!C164</f>
        <v>CO_INSP_PC_MAIN_NOT_READY</v>
      </c>
      <c r="E164" t="s">
        <v>105</v>
      </c>
      <c r="F164" t="str">
        <f>Sheet1!W164</f>
        <v>INSPECT_VISION</v>
      </c>
      <c r="G164" t="str">
        <f>Sheet1!E164</f>
        <v>외관 검사 스테이지 검사 준비 상태가 아닙니다</v>
      </c>
    </row>
    <row r="165" spans="1:7" x14ac:dyDescent="0.3">
      <c r="A165">
        <f t="shared" si="2"/>
        <v>164</v>
      </c>
      <c r="B165">
        <f>Sheet1!A165</f>
        <v>21005</v>
      </c>
      <c r="C165">
        <f>IF(Sheet1!U165="HEAVY",2,1)</f>
        <v>2</v>
      </c>
      <c r="D165" t="str">
        <f>Sheet1!C165</f>
        <v>CO_INSP_PC_MAIN_GRAB_START_SEND</v>
      </c>
      <c r="E165" t="s">
        <v>105</v>
      </c>
      <c r="F165" t="str">
        <f>Sheet1!W165</f>
        <v>INSPECT_VISION</v>
      </c>
      <c r="G165" t="str">
        <f>Sheet1!E165</f>
        <v>외관 검사기 인터페이스 그랩 시작 Send 실패 하였습니다</v>
      </c>
    </row>
    <row r="166" spans="1:7" x14ac:dyDescent="0.3">
      <c r="A166">
        <f t="shared" si="2"/>
        <v>165</v>
      </c>
      <c r="B166">
        <f>Sheet1!A166</f>
        <v>21006</v>
      </c>
      <c r="C166">
        <f>IF(Sheet1!U166="HEAVY",2,1)</f>
        <v>2</v>
      </c>
      <c r="D166" t="str">
        <f>Sheet1!C166</f>
        <v>CO_INSP_PC_MAIN_GRAB_START_VALIDATION</v>
      </c>
      <c r="E166" t="s">
        <v>105</v>
      </c>
      <c r="F166" t="str">
        <f>Sheet1!W166</f>
        <v>INSPECT_VISION</v>
      </c>
      <c r="G166" t="str">
        <f>Sheet1!E166</f>
        <v>외관 검사기 인터페이스 그랩 시작 ReceiveData가 정확하지 않습니다</v>
      </c>
    </row>
    <row r="167" spans="1:7" x14ac:dyDescent="0.3">
      <c r="A167">
        <f t="shared" si="2"/>
        <v>166</v>
      </c>
      <c r="B167">
        <f>Sheet1!A167</f>
        <v>21007</v>
      </c>
      <c r="C167">
        <f>IF(Sheet1!U167="HEAVY",2,1)</f>
        <v>2</v>
      </c>
      <c r="D167" t="str">
        <f>Sheet1!C167</f>
        <v>CO_INSP_PC_MAIN_GRAB_END_TIMEOUT</v>
      </c>
      <c r="E167" t="s">
        <v>105</v>
      </c>
      <c r="F167" t="str">
        <f>Sheet1!W167</f>
        <v>INSPECT_VISION</v>
      </c>
      <c r="G167" t="str">
        <f>Sheet1!E167</f>
        <v>외관 검사기 인터페이스 그랩 완료 응답 타임아웃 입니다</v>
      </c>
    </row>
    <row r="168" spans="1:7" x14ac:dyDescent="0.3">
      <c r="A168">
        <f t="shared" si="2"/>
        <v>167</v>
      </c>
      <c r="B168">
        <f>Sheet1!A168</f>
        <v>21008</v>
      </c>
      <c r="C168">
        <f>IF(Sheet1!U168="HEAVY",2,1)</f>
        <v>2</v>
      </c>
      <c r="D168" t="str">
        <f>Sheet1!C168</f>
        <v>CO_INSP_PC_MAIN_GRAB_END_VALIDATION</v>
      </c>
      <c r="E168" t="s">
        <v>105</v>
      </c>
      <c r="F168" t="str">
        <f>Sheet1!W168</f>
        <v>INSPECT_VISION</v>
      </c>
      <c r="G168" t="str">
        <f>Sheet1!E168</f>
        <v>외관 검사기 인터페이스 그랩 완료 ReceiveData가 정확하지 않습니다</v>
      </c>
    </row>
    <row r="169" spans="1:7" x14ac:dyDescent="0.3">
      <c r="A169">
        <f t="shared" si="2"/>
        <v>168</v>
      </c>
      <c r="B169">
        <f>Sheet1!A169</f>
        <v>21009</v>
      </c>
      <c r="C169">
        <f>IF(Sheet1!U169="HEAVY",2,1)</f>
        <v>1</v>
      </c>
      <c r="D169" t="str">
        <f>Sheet1!C169</f>
        <v>IN_INSP_PC_MAIN_TOTAL_RESULT_TIMEOUT</v>
      </c>
      <c r="E169" t="s">
        <v>105</v>
      </c>
      <c r="F169" t="str">
        <f>Sheet1!W169</f>
        <v>INSPECT_VISION</v>
      </c>
      <c r="G169" t="str">
        <f>Sheet1!E169</f>
        <v>외관 검사기 종합 결과 응답 타임아웃 입니다</v>
      </c>
    </row>
    <row r="170" spans="1:7" x14ac:dyDescent="0.3">
      <c r="A170">
        <f t="shared" si="2"/>
        <v>169</v>
      </c>
      <c r="B170">
        <f>Sheet1!A170</f>
        <v>21010</v>
      </c>
      <c r="C170">
        <f>IF(Sheet1!U170="HEAVY",2,1)</f>
        <v>2</v>
      </c>
      <c r="D170" t="str">
        <f>Sheet1!C170</f>
        <v>IN_INSP_PC_MAIN_TOTAL_RESULT_NORESPONSE</v>
      </c>
      <c r="E170" t="s">
        <v>105</v>
      </c>
      <c r="F170" t="str">
        <f>Sheet1!W170</f>
        <v>INSPECT_VISION</v>
      </c>
      <c r="G170" t="str">
        <f>Sheet1!E170</f>
        <v>외관 검사기 종합 결과 응답 연속 타임아웃 입니다</v>
      </c>
    </row>
    <row r="171" spans="1:7" x14ac:dyDescent="0.3">
      <c r="A171">
        <f t="shared" si="2"/>
        <v>170</v>
      </c>
      <c r="B171">
        <f>Sheet1!A171</f>
        <v>21011</v>
      </c>
      <c r="C171">
        <f>IF(Sheet1!U171="HEAVY",2,1)</f>
        <v>2</v>
      </c>
      <c r="D171" t="str">
        <f>Sheet1!C171</f>
        <v>CO_INSP_PC_MAIN_ERROR</v>
      </c>
      <c r="E171" t="s">
        <v>105</v>
      </c>
      <c r="F171" t="str">
        <f>Sheet1!W171</f>
        <v>INSPECT_VISION</v>
      </c>
      <c r="G171" t="str">
        <f>Sheet1!E171</f>
        <v>JAVAS 외관 검사기에서 Error가 발생 하였습니다</v>
      </c>
    </row>
    <row r="172" spans="1:7" x14ac:dyDescent="0.3">
      <c r="A172">
        <f t="shared" si="2"/>
        <v>171</v>
      </c>
      <c r="B172">
        <f>Sheet1!A172</f>
        <v>21012</v>
      </c>
      <c r="C172">
        <f>IF(Sheet1!U172="HEAVY",2,1)</f>
        <v>2</v>
      </c>
      <c r="D172" t="str">
        <f>Sheet1!C172</f>
        <v>CO_INSP_PC_MAIN_ERROR_SAME_POSITION_DEFECT</v>
      </c>
      <c r="E172" t="s">
        <v>105</v>
      </c>
      <c r="F172" t="str">
        <f>Sheet1!W172</f>
        <v>INSPECT_VISION</v>
      </c>
      <c r="G172" t="str">
        <f>Sheet1!E172</f>
        <v>JAVAS 외관 검사 결과 동일한 위치에 손상이 발생 하였습니다</v>
      </c>
    </row>
    <row r="173" spans="1:7" x14ac:dyDescent="0.3">
      <c r="A173">
        <f t="shared" si="2"/>
        <v>172</v>
      </c>
      <c r="B173">
        <f>Sheet1!A173</f>
        <v>21013</v>
      </c>
      <c r="C173">
        <f>IF(Sheet1!U173="HEAVY",2,1)</f>
        <v>2</v>
      </c>
      <c r="D173" t="str">
        <f>Sheet1!C173</f>
        <v>CO_INSP_PC_MAIN_ERROR_CAMERA</v>
      </c>
      <c r="E173" t="s">
        <v>105</v>
      </c>
      <c r="F173" t="str">
        <f>Sheet1!W173</f>
        <v>INSPECT_VISION</v>
      </c>
      <c r="G173" t="str">
        <f>Sheet1!E173</f>
        <v>외관 검사PC 카메라에 이상이 있습니다</v>
      </c>
    </row>
    <row r="174" spans="1:7" x14ac:dyDescent="0.3">
      <c r="A174">
        <f t="shared" si="2"/>
        <v>173</v>
      </c>
      <c r="B174">
        <f>Sheet1!A174</f>
        <v>21014</v>
      </c>
      <c r="C174">
        <f>IF(Sheet1!U174="HEAVY",2,1)</f>
        <v>2</v>
      </c>
      <c r="D174" t="str">
        <f>Sheet1!C174</f>
        <v>CO_INSP_PC_MAIN_ERROR_LIGHT_CONTROLLER</v>
      </c>
      <c r="E174" t="s">
        <v>105</v>
      </c>
      <c r="F174" t="str">
        <f>Sheet1!W174</f>
        <v>INSPECT_VISION</v>
      </c>
      <c r="G174" t="str">
        <f>Sheet1!E174</f>
        <v>외관 검사PC 조명 컨트롤러에 이상이 있습니다</v>
      </c>
    </row>
    <row r="175" spans="1:7" x14ac:dyDescent="0.3">
      <c r="A175">
        <f t="shared" si="2"/>
        <v>174</v>
      </c>
      <c r="B175">
        <f>Sheet1!A175</f>
        <v>21015</v>
      </c>
      <c r="C175">
        <f>IF(Sheet1!U175="HEAVY",2,1)</f>
        <v>2</v>
      </c>
      <c r="D175" t="str">
        <f>Sheet1!C175</f>
        <v>CO_INSP_PC_MAIN_CELL_DATA_SYNC_SEND</v>
      </c>
      <c r="E175" t="s">
        <v>105</v>
      </c>
      <c r="F175" t="str">
        <f>Sheet1!W175</f>
        <v>INSPECT_VISION</v>
      </c>
      <c r="G175" t="str">
        <f>Sheet1!E175</f>
        <v>외관 검사기 인터페이스 셀 데이터 동기화 Send 실패 하였습니다</v>
      </c>
    </row>
    <row r="176" spans="1:7" x14ac:dyDescent="0.3">
      <c r="A176">
        <f t="shared" si="2"/>
        <v>175</v>
      </c>
      <c r="B176">
        <f>Sheet1!A176</f>
        <v>21016</v>
      </c>
      <c r="C176">
        <f>IF(Sheet1!U176="HEAVY",2,1)</f>
        <v>2</v>
      </c>
      <c r="D176" t="str">
        <f>Sheet1!C176</f>
        <v>CO_INSP_PC_MAIN_CELL_DATA_SYNC_VALIDATION</v>
      </c>
      <c r="E176" t="s">
        <v>105</v>
      </c>
      <c r="F176" t="str">
        <f>Sheet1!W176</f>
        <v>INSPECT_VISION</v>
      </c>
      <c r="G176" t="str">
        <f>Sheet1!E176</f>
        <v>외관 검사기 인터페이스 셀 데이터 동기화 ReceiveData가 정확하지 않습니다</v>
      </c>
    </row>
    <row r="177" spans="1:7" x14ac:dyDescent="0.3">
      <c r="A177">
        <f t="shared" si="2"/>
        <v>176</v>
      </c>
      <c r="B177">
        <f>Sheet1!A177</f>
        <v>21017</v>
      </c>
      <c r="C177">
        <f>IF(Sheet1!U177="HEAVY",2,1)</f>
        <v>2</v>
      </c>
      <c r="D177" t="str">
        <f>Sheet1!C177</f>
        <v>CO_INSP_PC_MAIN_AMO_GRAB_START_SEND</v>
      </c>
      <c r="E177" t="s">
        <v>105</v>
      </c>
      <c r="F177" t="str">
        <f>Sheet1!W177</f>
        <v>INSPECT_VISION</v>
      </c>
      <c r="G177" t="str">
        <f>Sheet1!E177</f>
        <v>외관 검사기 인터페이스 AMO 그랩 시작 Send 실패 하였습니다 (간이 광학계)</v>
      </c>
    </row>
    <row r="178" spans="1:7" x14ac:dyDescent="0.3">
      <c r="A178">
        <f t="shared" si="2"/>
        <v>177</v>
      </c>
      <c r="B178">
        <f>Sheet1!A178</f>
        <v>21018</v>
      </c>
      <c r="C178">
        <f>IF(Sheet1!U178="HEAVY",2,1)</f>
        <v>2</v>
      </c>
      <c r="D178" t="str">
        <f>Sheet1!C178</f>
        <v>CO_INSP_PC_MAIN_AMO_GRAB_START_VALIDATION</v>
      </c>
      <c r="E178" t="s">
        <v>105</v>
      </c>
      <c r="F178" t="str">
        <f>Sheet1!W178</f>
        <v>INSPECT_VISION</v>
      </c>
      <c r="G178" t="str">
        <f>Sheet1!E178</f>
        <v>외관 검사기 인터페이스 AMO 그랩 시작 ReceiveData가 정확하지 않습니다 (간이 광학계)</v>
      </c>
    </row>
    <row r="179" spans="1:7" x14ac:dyDescent="0.3">
      <c r="A179">
        <f t="shared" si="2"/>
        <v>178</v>
      </c>
      <c r="B179">
        <f>Sheet1!A179</f>
        <v>21019</v>
      </c>
      <c r="C179">
        <f>IF(Sheet1!U179="HEAVY",2,1)</f>
        <v>2</v>
      </c>
      <c r="D179" t="str">
        <f>Sheet1!C179</f>
        <v>CO_INSP_PC_MAIN_AMO_GRAB_END_SEND</v>
      </c>
      <c r="E179" t="s">
        <v>105</v>
      </c>
      <c r="F179" t="str">
        <f>Sheet1!W179</f>
        <v>INSPECT_VISION</v>
      </c>
      <c r="G179" t="str">
        <f>Sheet1!E179</f>
        <v>외관 검사기 인터페이스 AMO 그랩 완료 Send 실패 하였습니다 (간이 광학계)</v>
      </c>
    </row>
    <row r="180" spans="1:7" x14ac:dyDescent="0.3">
      <c r="A180">
        <f t="shared" si="2"/>
        <v>179</v>
      </c>
      <c r="B180">
        <f>Sheet1!A180</f>
        <v>21020</v>
      </c>
      <c r="C180">
        <f>IF(Sheet1!U180="HEAVY",2,1)</f>
        <v>2</v>
      </c>
      <c r="D180" t="str">
        <f>Sheet1!C180</f>
        <v>CO_INSP_PC_MAIN_AMO_GRAB_END_VALIDATION</v>
      </c>
      <c r="E180" t="s">
        <v>105</v>
      </c>
      <c r="F180" t="str">
        <f>Sheet1!W180</f>
        <v>INSPECT_VISION</v>
      </c>
      <c r="G180" t="str">
        <f>Sheet1!E180</f>
        <v>외관 검사기 인터페이스 AMO 그랩 완료 ReceiveData가 정확하지 않습니다 (간이 광학계)</v>
      </c>
    </row>
    <row r="181" spans="1:7" x14ac:dyDescent="0.3">
      <c r="A181">
        <f t="shared" si="2"/>
        <v>180</v>
      </c>
      <c r="B181">
        <f>Sheet1!A181</f>
        <v>29500</v>
      </c>
      <c r="C181">
        <f>IF(Sheet1!U181="HEAVY",2,1)</f>
        <v>1</v>
      </c>
      <c r="D181" t="str">
        <f>Sheet1!C181</f>
        <v>VA_TRANSFER_CIM_P1_TRACKING_FAILED</v>
      </c>
      <c r="E181" t="s">
        <v>105</v>
      </c>
      <c r="F181" t="str">
        <f>Sheet1!W181</f>
        <v>CIM</v>
      </c>
      <c r="G181" t="str">
        <f>Sheet1!E181</f>
        <v>P1 트랙킹에 실패했습니다</v>
      </c>
    </row>
    <row r="182" spans="1:7" x14ac:dyDescent="0.3">
      <c r="A182">
        <f t="shared" si="2"/>
        <v>181</v>
      </c>
      <c r="B182">
        <f>Sheet1!A182</f>
        <v>29501</v>
      </c>
      <c r="C182">
        <f>IF(Sheet1!U182="HEAVY",2,1)</f>
        <v>1</v>
      </c>
      <c r="D182" t="str">
        <f>Sheet1!C182</f>
        <v>VA_TRANSFER_CIM_P1_TRACKING_TIMEOUT</v>
      </c>
      <c r="E182" t="s">
        <v>105</v>
      </c>
      <c r="F182" t="str">
        <f>Sheet1!W182</f>
        <v>CIM</v>
      </c>
      <c r="G182" t="str">
        <f>Sheet1!E182</f>
        <v>P1 트랙킹 시간이 초과했습니다</v>
      </c>
    </row>
    <row r="183" spans="1:7" x14ac:dyDescent="0.3">
      <c r="A183">
        <f t="shared" si="2"/>
        <v>182</v>
      </c>
      <c r="B183">
        <f>Sheet1!A183</f>
        <v>29502</v>
      </c>
      <c r="C183">
        <f>IF(Sheet1!U183="HEAVY",2,1)</f>
        <v>1</v>
      </c>
      <c r="D183" t="str">
        <f>Sheet1!C183</f>
        <v>VA_TRANSFER_CIM_P1_TRACKING_MISSMATCH</v>
      </c>
      <c r="E183" t="s">
        <v>105</v>
      </c>
      <c r="F183" t="str">
        <f>Sheet1!W183</f>
        <v>CIM</v>
      </c>
      <c r="G183" t="str">
        <f>Sheet1!E183</f>
        <v>P1 트랙킹 CELL ID와 JOB PROCESS REQUEST CELL ID와 다릅니다</v>
      </c>
    </row>
    <row r="184" spans="1:7" x14ac:dyDescent="0.3">
      <c r="A184">
        <f t="shared" si="2"/>
        <v>183</v>
      </c>
      <c r="B184">
        <f>Sheet1!A184</f>
        <v>29510</v>
      </c>
      <c r="C184">
        <f>IF(Sheet1!U184="HEAVY",2,1)</f>
        <v>1</v>
      </c>
      <c r="D184" t="str">
        <f>Sheet1!C184</f>
        <v>VA_TRANSFER_CIM_P1_CELL_INFORMATION_DOWNLOAD_FAILED</v>
      </c>
      <c r="E184" t="s">
        <v>105</v>
      </c>
      <c r="F184" t="str">
        <f>Sheet1!W184</f>
        <v>CIM</v>
      </c>
      <c r="G184" t="str">
        <f>Sheet1!E184</f>
        <v>P1 셀 정보 다운로드에 실패했습니다</v>
      </c>
    </row>
    <row r="185" spans="1:7" x14ac:dyDescent="0.3">
      <c r="A185">
        <f t="shared" si="2"/>
        <v>184</v>
      </c>
      <c r="B185">
        <f>Sheet1!A185</f>
        <v>29511</v>
      </c>
      <c r="C185">
        <f>IF(Sheet1!U185="HEAVY",2,1)</f>
        <v>1</v>
      </c>
      <c r="D185" t="str">
        <f>Sheet1!C185</f>
        <v>VA_TRANSFER_CIM_P1_CELL_INFORMATION_DOWNLOAD_TIMEOUT</v>
      </c>
      <c r="E185" t="s">
        <v>105</v>
      </c>
      <c r="F185" t="str">
        <f>Sheet1!W185</f>
        <v>CIM</v>
      </c>
      <c r="G185" t="str">
        <f>Sheet1!E185</f>
        <v>P1 셀 정보 다운로드 시간이 초과했습니다</v>
      </c>
    </row>
    <row r="186" spans="1:7" x14ac:dyDescent="0.3">
      <c r="A186">
        <f t="shared" si="2"/>
        <v>185</v>
      </c>
      <c r="B186">
        <f>Sheet1!A186</f>
        <v>29512</v>
      </c>
      <c r="C186">
        <f>IF(Sheet1!U186="HEAVY",2,1)</f>
        <v>1</v>
      </c>
      <c r="D186" t="str">
        <f>Sheet1!C186</f>
        <v>VA_TRANSFER_CIM_P1_CELL_INFORMATION_DOWNLOAD_MISSMATCH</v>
      </c>
      <c r="E186" t="s">
        <v>105</v>
      </c>
      <c r="F186" t="str">
        <f>Sheet1!W186</f>
        <v>CIM</v>
      </c>
      <c r="G186" t="str">
        <f>Sheet1!E186</f>
        <v>P1 셀 정보 다운로드 CELL ID와 JOB PROCESS REQUEST CELL ID와 다릅니다</v>
      </c>
    </row>
    <row r="187" spans="1:7" x14ac:dyDescent="0.3">
      <c r="A187">
        <f t="shared" si="2"/>
        <v>186</v>
      </c>
      <c r="B187">
        <f>Sheet1!A187</f>
        <v>29600</v>
      </c>
      <c r="C187">
        <f>IF(Sheet1!U187="HEAVY",2,1)</f>
        <v>1</v>
      </c>
      <c r="D187" t="str">
        <f>Sheet1!C187</f>
        <v>VA_TRANSFER_CIM_P2_TRACKING_FAILED</v>
      </c>
      <c r="E187" t="s">
        <v>105</v>
      </c>
      <c r="F187" t="str">
        <f>Sheet1!W187</f>
        <v>CIM</v>
      </c>
      <c r="G187" t="str">
        <f>Sheet1!E187</f>
        <v>P2 트랙킹에 실패했습니다</v>
      </c>
    </row>
    <row r="188" spans="1:7" x14ac:dyDescent="0.3">
      <c r="A188">
        <f t="shared" si="2"/>
        <v>187</v>
      </c>
      <c r="B188">
        <f>Sheet1!A188</f>
        <v>29601</v>
      </c>
      <c r="C188">
        <f>IF(Sheet1!U188="HEAVY",2,1)</f>
        <v>1</v>
      </c>
      <c r="D188" t="str">
        <f>Sheet1!C188</f>
        <v>VA_TRANSFER_CIM_P2_TRACKING_TIMEOUT</v>
      </c>
      <c r="E188" t="s">
        <v>105</v>
      </c>
      <c r="F188" t="str">
        <f>Sheet1!W188</f>
        <v>CIM</v>
      </c>
      <c r="G188" t="str">
        <f>Sheet1!E188</f>
        <v>P2 트랙킹 시간이 초과했습니다</v>
      </c>
    </row>
    <row r="189" spans="1:7" x14ac:dyDescent="0.3">
      <c r="A189">
        <f t="shared" si="2"/>
        <v>188</v>
      </c>
      <c r="B189">
        <f>Sheet1!A189</f>
        <v>29602</v>
      </c>
      <c r="C189">
        <f>IF(Sheet1!U189="HEAVY",2,1)</f>
        <v>1</v>
      </c>
      <c r="D189" t="str">
        <f>Sheet1!C189</f>
        <v>VA_TRANSFER_CIM_P2_TRACKING_MISSMATCH</v>
      </c>
      <c r="E189" t="s">
        <v>105</v>
      </c>
      <c r="F189" t="str">
        <f>Sheet1!W189</f>
        <v>CIM</v>
      </c>
      <c r="G189" t="str">
        <f>Sheet1!E189</f>
        <v>P2 트랙킹 CELL ID와 JOB PROCESS REQUEST CELL ID와 다릅니다</v>
      </c>
    </row>
    <row r="190" spans="1:7" x14ac:dyDescent="0.3">
      <c r="A190">
        <f t="shared" si="2"/>
        <v>189</v>
      </c>
      <c r="B190">
        <f>Sheet1!A190</f>
        <v>29610</v>
      </c>
      <c r="C190">
        <f>IF(Sheet1!U190="HEAVY",2,1)</f>
        <v>1</v>
      </c>
      <c r="D190" t="str">
        <f>Sheet1!C190</f>
        <v>VA_TRANSFER_CIM_P2_CELL_INFORMATION_DOWNLOAD_FAILED</v>
      </c>
      <c r="E190" t="s">
        <v>105</v>
      </c>
      <c r="F190" t="str">
        <f>Sheet1!W190</f>
        <v>CIM</v>
      </c>
      <c r="G190" t="str">
        <f>Sheet1!E190</f>
        <v>P2 셀 정보 다운로드에 실패했습니다</v>
      </c>
    </row>
    <row r="191" spans="1:7" x14ac:dyDescent="0.3">
      <c r="A191">
        <f t="shared" si="2"/>
        <v>190</v>
      </c>
      <c r="B191">
        <f>Sheet1!A191</f>
        <v>29611</v>
      </c>
      <c r="C191">
        <f>IF(Sheet1!U191="HEAVY",2,1)</f>
        <v>1</v>
      </c>
      <c r="D191" t="str">
        <f>Sheet1!C191</f>
        <v>VA_TRANSFER_CIM_P2_CELL_INFORMATION_DOWNLOAD_TIMEOUT</v>
      </c>
      <c r="E191" t="s">
        <v>105</v>
      </c>
      <c r="F191" t="str">
        <f>Sheet1!W191</f>
        <v>CIM</v>
      </c>
      <c r="G191" t="str">
        <f>Sheet1!E191</f>
        <v>P2 셀 정보 다운로드 시간이 초과했습니다</v>
      </c>
    </row>
    <row r="192" spans="1:7" x14ac:dyDescent="0.3">
      <c r="A192">
        <f t="shared" si="2"/>
        <v>191</v>
      </c>
      <c r="B192">
        <f>Sheet1!A192</f>
        <v>29612</v>
      </c>
      <c r="C192">
        <f>IF(Sheet1!U192="HEAVY",2,1)</f>
        <v>1</v>
      </c>
      <c r="D192" t="str">
        <f>Sheet1!C192</f>
        <v>VA_TRANSFER_CIM_P2_CELL_INFORMATION_DOWNLOAD_MISSMATCH</v>
      </c>
      <c r="E192" t="s">
        <v>105</v>
      </c>
      <c r="F192" t="str">
        <f>Sheet1!W192</f>
        <v>CIM</v>
      </c>
      <c r="G192" t="str">
        <f>Sheet1!E192</f>
        <v>P2 셀 정보 다운로드 CELL ID와 JOB PROCESS REQUEST CELL ID와 다릅니다</v>
      </c>
    </row>
    <row r="193" spans="1:7" x14ac:dyDescent="0.3">
      <c r="A193">
        <f t="shared" si="2"/>
        <v>192</v>
      </c>
      <c r="B193">
        <f>Sheet1!A193</f>
        <v>29998</v>
      </c>
      <c r="C193">
        <f>IF(Sheet1!U193="HEAVY",2,1)</f>
        <v>2</v>
      </c>
      <c r="D193" t="str">
        <f>Sheet1!C193</f>
        <v>CO_TRANSFER_CIM_N_HOST_DISCONNECTED</v>
      </c>
      <c r="E193" t="s">
        <v>105</v>
      </c>
      <c r="F193" t="str">
        <f>Sheet1!W193</f>
        <v>CIM</v>
      </c>
      <c r="G193" t="str">
        <f>Sheet1!E193</f>
        <v>HOST 통신 연결이 끊겼습니다</v>
      </c>
    </row>
    <row r="194" spans="1:7" x14ac:dyDescent="0.3">
      <c r="A194">
        <f t="shared" si="2"/>
        <v>193</v>
      </c>
      <c r="B194">
        <f>Sheet1!A194</f>
        <v>29999</v>
      </c>
      <c r="C194">
        <f>IF(Sheet1!U194="HEAVY",2,1)</f>
        <v>2</v>
      </c>
      <c r="D194" t="str">
        <f>Sheet1!C194</f>
        <v>CO_TRANSFER_CIM_N_CIM_DISCONNECTED</v>
      </c>
      <c r="E194" t="s">
        <v>105</v>
      </c>
      <c r="F194" t="str">
        <f>Sheet1!W194</f>
        <v>CIM</v>
      </c>
      <c r="G194" t="str">
        <f>Sheet1!E194</f>
        <v>CIM 통신 연결이 끊겼습니다</v>
      </c>
    </row>
    <row r="195" spans="1:7" x14ac:dyDescent="0.3">
      <c r="A195">
        <f t="shared" ref="A195:A227" si="3">IF(B195=" "," ",ROW(A195)-1)</f>
        <v>194</v>
      </c>
      <c r="B195">
        <f>Sheet1!A195</f>
        <v>30000</v>
      </c>
      <c r="C195">
        <f>IF(Sheet1!U195="HEAVY",2,1)</f>
        <v>2</v>
      </c>
      <c r="D195" t="str">
        <f>Sheet1!C195</f>
        <v>UT_MAIN_ELECTRONICBOX_TEMPERATURE_1_N_OVER40</v>
      </c>
      <c r="E195" t="s">
        <v>105</v>
      </c>
      <c r="F195" t="str">
        <f>Sheet1!W195</f>
        <v>SAFETY</v>
      </c>
      <c r="G195" t="str">
        <f>Sheet1!E195</f>
        <v>전장반 온도가 40도를 초과 했습니다</v>
      </c>
    </row>
    <row r="196" spans="1:7" x14ac:dyDescent="0.3">
      <c r="A196">
        <f t="shared" si="3"/>
        <v>195</v>
      </c>
      <c r="B196">
        <f>Sheet1!A196</f>
        <v>30001</v>
      </c>
      <c r="C196">
        <f>IF(Sheet1!U196="HEAVY",2,1)</f>
        <v>2</v>
      </c>
      <c r="D196" t="str">
        <f>Sheet1!C196</f>
        <v>UT_MAIN_PCRACK_TEMPERATURE_1_N_OVER40</v>
      </c>
      <c r="E196" t="s">
        <v>105</v>
      </c>
      <c r="F196" t="str">
        <f>Sheet1!W196</f>
        <v>SAFETY</v>
      </c>
      <c r="G196" t="str">
        <f>Sheet1!E196</f>
        <v>PC 랙 온도가 40도를 초과 했습니다</v>
      </c>
    </row>
    <row r="197" spans="1:7" x14ac:dyDescent="0.3">
      <c r="A197">
        <f t="shared" si="3"/>
        <v>196</v>
      </c>
      <c r="B197">
        <f>Sheet1!A197</f>
        <v>30002</v>
      </c>
      <c r="C197">
        <f>IF(Sheet1!U197="HEAVY",2,1)</f>
        <v>2</v>
      </c>
      <c r="D197" t="str">
        <f>Sheet1!C197</f>
        <v>UT_MAIN_ELECTRONICBOX_SMOKE_SENSOR_1_N_DETECTED</v>
      </c>
      <c r="E197" t="s">
        <v>105</v>
      </c>
      <c r="F197" t="str">
        <f>Sheet1!W197</f>
        <v>SAFETY</v>
      </c>
      <c r="G197" t="str">
        <f>Sheet1!E197</f>
        <v>전장반에 연기가 감지되었습니다</v>
      </c>
    </row>
    <row r="198" spans="1:7" x14ac:dyDescent="0.3">
      <c r="A198">
        <f t="shared" si="3"/>
        <v>197</v>
      </c>
      <c r="B198">
        <f>Sheet1!A198</f>
        <v>30003</v>
      </c>
      <c r="C198">
        <f>IF(Sheet1!U198="HEAVY",2,1)</f>
        <v>2</v>
      </c>
      <c r="D198" t="str">
        <f>Sheet1!C198</f>
        <v>UT_MAIN_SAFETYPLC_GPS_MC_POWER_OFF</v>
      </c>
      <c r="E198" t="s">
        <v>105</v>
      </c>
      <c r="F198" t="str">
        <f>Sheet1!W198</f>
        <v>SAFETY</v>
      </c>
      <c r="G198" t="str">
        <f>Sheet1!E198</f>
        <v>세이프티 PLC 문제 발생하여 설비 MAGNET 전원이 OFF 되었습니다</v>
      </c>
    </row>
    <row r="199" spans="1:7" x14ac:dyDescent="0.3">
      <c r="A199">
        <f t="shared" si="3"/>
        <v>198</v>
      </c>
      <c r="B199">
        <f>Sheet1!A199</f>
        <v>30004</v>
      </c>
      <c r="C199">
        <f>IF(Sheet1!U199="HEAVY",2,1)</f>
        <v>2</v>
      </c>
      <c r="D199" t="str">
        <f>Sheet1!C199</f>
        <v>CO_MAIN_DEVICE_MCU_DISCONNECTED</v>
      </c>
      <c r="E199" t="s">
        <v>105</v>
      </c>
      <c r="F199" t="str">
        <f>Sheet1!W199</f>
        <v>SAFETY</v>
      </c>
      <c r="G199" t="str">
        <f>Sheet1!E199</f>
        <v>FFU컨트롤러 연결이 끊어졌습니다.</v>
      </c>
    </row>
    <row r="200" spans="1:7" x14ac:dyDescent="0.3">
      <c r="A200">
        <f t="shared" si="3"/>
        <v>199</v>
      </c>
      <c r="B200">
        <f>Sheet1!A200</f>
        <v>30005</v>
      </c>
      <c r="C200">
        <f>IF(Sheet1!U200="HEAVY",2,1)</f>
        <v>2</v>
      </c>
      <c r="D200" t="str">
        <f>Sheet1!C200</f>
        <v>CO_MAIN_DEVICE_GMS_DISCONNECTED</v>
      </c>
      <c r="E200" t="s">
        <v>105</v>
      </c>
      <c r="F200" t="str">
        <f>Sheet1!W200</f>
        <v>SAFETY</v>
      </c>
      <c r="G200" t="str">
        <f>Sheet1!E200</f>
        <v>접지 저항 측정기 연결이 끊어졌습니다.</v>
      </c>
    </row>
    <row r="201" spans="1:7" x14ac:dyDescent="0.3">
      <c r="A201">
        <f t="shared" si="3"/>
        <v>200</v>
      </c>
      <c r="B201">
        <f>Sheet1!A201</f>
        <v>30006</v>
      </c>
      <c r="C201">
        <f>IF(Sheet1!U201="HEAVY",2,1)</f>
        <v>2</v>
      </c>
      <c r="D201" t="str">
        <f>Sheet1!C201</f>
        <v>CO_MAIN_ELECTRONICBOX_TEMPERATURE_DISCONNECTED</v>
      </c>
      <c r="E201" t="s">
        <v>105</v>
      </c>
      <c r="F201" t="str">
        <f>Sheet1!W201</f>
        <v>SAFETY</v>
      </c>
      <c r="G201" t="str">
        <f>Sheet1!E201</f>
        <v>전장반 온도컨트롤러 연결이 끊어졌습니다.</v>
      </c>
    </row>
    <row r="202" spans="1:7" x14ac:dyDescent="0.3">
      <c r="A202">
        <f t="shared" si="3"/>
        <v>201</v>
      </c>
      <c r="B202">
        <f>Sheet1!A202</f>
        <v>30007</v>
      </c>
      <c r="C202">
        <f>IF(Sheet1!U202="HEAVY",2,1)</f>
        <v>2</v>
      </c>
      <c r="D202" t="str">
        <f>Sheet1!C202</f>
        <v>CO_MAIN_PCRACK_TEMPERATURE_DISCONNECTED</v>
      </c>
      <c r="E202" t="s">
        <v>105</v>
      </c>
      <c r="F202" t="str">
        <f>Sheet1!W202</f>
        <v>SAFETY</v>
      </c>
      <c r="G202" t="str">
        <f>Sheet1!E202</f>
        <v>PC 랙 온도컨트롤러 연결이 끊어졌습니다.</v>
      </c>
    </row>
    <row r="203" spans="1:7" x14ac:dyDescent="0.3">
      <c r="A203">
        <f t="shared" si="3"/>
        <v>202</v>
      </c>
      <c r="B203">
        <f>Sheet1!A203</f>
        <v>30008</v>
      </c>
      <c r="C203">
        <f>IF(Sheet1!U203="HEAVY",2,1)</f>
        <v>2</v>
      </c>
      <c r="D203" t="str">
        <f>Sheet1!C203</f>
        <v>OP_MAIN_MODEKEY_N_TEACH</v>
      </c>
      <c r="E203" t="s">
        <v>105</v>
      </c>
      <c r="F203" t="str">
        <f>Sheet1!W203</f>
        <v>SAFETY</v>
      </c>
      <c r="G203" t="str">
        <f>Sheet1!E203</f>
        <v>설비 구동중에 세이프티키가 TEACH로 변경되었습니다</v>
      </c>
    </row>
    <row r="204" spans="1:7" x14ac:dyDescent="0.3">
      <c r="A204">
        <f t="shared" si="3"/>
        <v>203</v>
      </c>
      <c r="B204">
        <f>Sheet1!A204</f>
        <v>30009</v>
      </c>
      <c r="C204">
        <f>IF(Sheet1!U204="HEAVY",2,1)</f>
        <v>2</v>
      </c>
      <c r="D204" t="str">
        <f>Sheet1!C204</f>
        <v>OP_MAIN_UNIT_ALL_STOP</v>
      </c>
      <c r="E204" t="s">
        <v>105</v>
      </c>
      <c r="F204" t="str">
        <f>Sheet1!W204</f>
        <v>SAFETY</v>
      </c>
      <c r="G204" t="str">
        <f>Sheet1!E204</f>
        <v>설비에 모든 유닛이 정지 상태입니다</v>
      </c>
    </row>
    <row r="205" spans="1:7" x14ac:dyDescent="0.3">
      <c r="A205">
        <f t="shared" si="3"/>
        <v>204</v>
      </c>
      <c r="B205">
        <f>Sheet1!A205</f>
        <v>30010</v>
      </c>
      <c r="C205">
        <f>IF(Sheet1!U205="HEAVY",2,1)</f>
        <v>2</v>
      </c>
      <c r="D205" t="str">
        <f>Sheet1!C205</f>
        <v>VC_MAIN_VACUUM_MAIN_SUPPLY</v>
      </c>
      <c r="E205" t="s">
        <v>105</v>
      </c>
      <c r="F205" t="str">
        <f>Sheet1!W205</f>
        <v>SAFETY</v>
      </c>
      <c r="G205" t="str">
        <f>Sheet1!E205</f>
        <v>메인 진공 공압이 설정 값보다 낮아졌습니다</v>
      </c>
    </row>
    <row r="206" spans="1:7" x14ac:dyDescent="0.3">
      <c r="A206">
        <f t="shared" si="3"/>
        <v>205</v>
      </c>
      <c r="B206">
        <f>Sheet1!A206</f>
        <v>30011</v>
      </c>
      <c r="C206">
        <f>IF(Sheet1!U206="HEAVY",2,1)</f>
        <v>2</v>
      </c>
      <c r="D206" t="str">
        <f>Sheet1!C206</f>
        <v>VC_INSP_STAGE_VACUUM_MAIN_SUPPLY</v>
      </c>
      <c r="E206" t="s">
        <v>105</v>
      </c>
      <c r="F206" t="str">
        <f>Sheet1!W206</f>
        <v>SAFETY</v>
      </c>
      <c r="G206" t="str">
        <f>Sheet1!E206</f>
        <v>검사스테이지 메인 진공 공압이 설정 값보다 낮아졌습니다</v>
      </c>
    </row>
    <row r="207" spans="1:7" x14ac:dyDescent="0.3">
      <c r="A207">
        <f t="shared" si="3"/>
        <v>206</v>
      </c>
      <c r="B207">
        <f>Sheet1!A207</f>
        <v>30012</v>
      </c>
      <c r="C207">
        <f>IF(Sheet1!U207="HEAVY",2,1)</f>
        <v>2</v>
      </c>
      <c r="D207" t="str">
        <f>Sheet1!C207</f>
        <v>VC_MAIN_AIR_MAIN_N_SUPPLY</v>
      </c>
      <c r="E207" t="s">
        <v>105</v>
      </c>
      <c r="F207" t="str">
        <f>Sheet1!W207</f>
        <v>SAFETY</v>
      </c>
      <c r="G207" t="str">
        <f>Sheet1!E207</f>
        <v>메인 공압이 설정 값보다 낮아졌습니다</v>
      </c>
    </row>
    <row r="208" spans="1:7" x14ac:dyDescent="0.3">
      <c r="A208">
        <f t="shared" si="3"/>
        <v>207</v>
      </c>
      <c r="B208">
        <f>Sheet1!A208</f>
        <v>30013</v>
      </c>
      <c r="C208">
        <f>IF(Sheet1!U208="HEAVY",2,1)</f>
        <v>1</v>
      </c>
      <c r="D208" t="str">
        <f>Sheet1!C208</f>
        <v>UT_MAIN_ELECTRONICBOX_FAN_1_STOP</v>
      </c>
      <c r="E208" t="s">
        <v>105</v>
      </c>
      <c r="F208" t="str">
        <f>Sheet1!W208</f>
        <v>SAFETY</v>
      </c>
      <c r="G208" t="str">
        <f>Sheet1!E208</f>
        <v>MAIN 전장반 FAN1이 정지했습니다</v>
      </c>
    </row>
    <row r="209" spans="1:7" x14ac:dyDescent="0.3">
      <c r="A209">
        <f t="shared" si="3"/>
        <v>208</v>
      </c>
      <c r="B209">
        <f>Sheet1!A209</f>
        <v>30014</v>
      </c>
      <c r="C209">
        <f>IF(Sheet1!U209="HEAVY",2,1)</f>
        <v>1</v>
      </c>
      <c r="D209" t="str">
        <f>Sheet1!C209</f>
        <v>UT_MAIN_ELECTRONICBOX_FAN_2_STOP</v>
      </c>
      <c r="E209" t="s">
        <v>105</v>
      </c>
      <c r="F209" t="str">
        <f>Sheet1!W209</f>
        <v>SAFETY</v>
      </c>
      <c r="G209" t="str">
        <f>Sheet1!E209</f>
        <v>MAIN 전장반 FAN2가 정지했습니다</v>
      </c>
    </row>
    <row r="210" spans="1:7" x14ac:dyDescent="0.3">
      <c r="A210">
        <f t="shared" si="3"/>
        <v>209</v>
      </c>
      <c r="B210">
        <f>Sheet1!A210</f>
        <v>30015</v>
      </c>
      <c r="C210">
        <f>IF(Sheet1!U210="HEAVY",2,1)</f>
        <v>1</v>
      </c>
      <c r="D210" t="str">
        <f>Sheet1!C210</f>
        <v>UT_MAIN_MCU_FFU_1_STOP</v>
      </c>
      <c r="E210" t="s">
        <v>105</v>
      </c>
      <c r="F210" t="str">
        <f>Sheet1!W210</f>
        <v>SAFETY</v>
      </c>
      <c r="G210" t="str">
        <f>Sheet1!E210</f>
        <v>MAIN MCU 그룹에 FFU#1에 FAN이 정지했습니다</v>
      </c>
    </row>
    <row r="211" spans="1:7" x14ac:dyDescent="0.3">
      <c r="A211">
        <f t="shared" si="3"/>
        <v>210</v>
      </c>
      <c r="B211">
        <f>Sheet1!A211</f>
        <v>30016</v>
      </c>
      <c r="C211">
        <f>IF(Sheet1!U211="HEAVY",2,1)</f>
        <v>1</v>
      </c>
      <c r="D211" t="str">
        <f>Sheet1!C211</f>
        <v>UT_MAIN_MCU_FFU_1_ALARM_OCCURRED</v>
      </c>
      <c r="E211" t="s">
        <v>105</v>
      </c>
      <c r="F211" t="str">
        <f>Sheet1!W211</f>
        <v>SAFETY</v>
      </c>
      <c r="G211" t="str">
        <f>Sheet1!E211</f>
        <v>MAIN MCU 그룹에 FFU#1에 FAN에 알람이 발생했습니다</v>
      </c>
    </row>
    <row r="212" spans="1:7" x14ac:dyDescent="0.3">
      <c r="A212">
        <f t="shared" si="3"/>
        <v>211</v>
      </c>
      <c r="B212">
        <f>Sheet1!A212</f>
        <v>30100</v>
      </c>
      <c r="C212">
        <f>IF(Sheet1!U212="HEAVY",2,1)</f>
        <v>2</v>
      </c>
      <c r="D212" t="str">
        <f>Sheet1!C212</f>
        <v>EM_MAIN_CONTROLPANEL_FRONT_EMS_X000</v>
      </c>
      <c r="E212" t="s">
        <v>105</v>
      </c>
      <c r="F212" t="str">
        <f>Sheet1!W212</f>
        <v>SAFETY</v>
      </c>
      <c r="G212" t="str">
        <f>Sheet1!E212</f>
        <v>정면 비상 정지 버튼#1이 눌렸습니다</v>
      </c>
    </row>
    <row r="213" spans="1:7" x14ac:dyDescent="0.3">
      <c r="A213">
        <f t="shared" si="3"/>
        <v>212</v>
      </c>
      <c r="B213">
        <f>Sheet1!A213</f>
        <v>30101</v>
      </c>
      <c r="C213">
        <f>IF(Sheet1!U213="HEAVY",2,1)</f>
        <v>2</v>
      </c>
      <c r="D213" t="str">
        <f>Sheet1!C213</f>
        <v>EM_MAIN_CONTROLPANEL_REAR_EMS_X001</v>
      </c>
      <c r="E213" t="s">
        <v>105</v>
      </c>
      <c r="F213" t="str">
        <f>Sheet1!W213</f>
        <v>SAFETY</v>
      </c>
      <c r="G213" t="str">
        <f>Sheet1!E213</f>
        <v>후면 비상 정지 버튼#2이 눌렸습니다</v>
      </c>
    </row>
    <row r="214" spans="1:7" x14ac:dyDescent="0.3">
      <c r="A214">
        <f t="shared" si="3"/>
        <v>213</v>
      </c>
      <c r="B214">
        <f>Sheet1!A214</f>
        <v>30102</v>
      </c>
      <c r="C214">
        <f>IF(Sheet1!U214="HEAVY",2,1)</f>
        <v>2</v>
      </c>
      <c r="D214" t="str">
        <f>Sheet1!C214</f>
        <v>EM_TRANSFER_ROBOT_IN_PENDANT_EMS</v>
      </c>
      <c r="E214" t="s">
        <v>105</v>
      </c>
      <c r="F214" t="str">
        <f>Sheet1!W214</f>
        <v>SAFETY</v>
      </c>
      <c r="G214" t="str">
        <f>Sheet1!E214</f>
        <v>IN로봇 팬던트에 비상 정지 버튼이 눌렸습니다</v>
      </c>
    </row>
    <row r="215" spans="1:7" x14ac:dyDescent="0.3">
      <c r="A215">
        <f t="shared" si="3"/>
        <v>214</v>
      </c>
      <c r="B215">
        <f>Sheet1!A215</f>
        <v>30103</v>
      </c>
      <c r="C215">
        <f>IF(Sheet1!U215="HEAVY",2,1)</f>
        <v>2</v>
      </c>
      <c r="D215" t="str">
        <f>Sheet1!C215</f>
        <v>EM_TRANSFER_ROBOT_IN_CONTROLLER_EMS</v>
      </c>
      <c r="E215" t="s">
        <v>105</v>
      </c>
      <c r="F215" t="str">
        <f>Sheet1!W215</f>
        <v>SAFETY</v>
      </c>
      <c r="G215" t="str">
        <f>Sheet1!E215</f>
        <v>IN로봇 컨트롤러에 비상 정지 버튼이 눌렸습니다</v>
      </c>
    </row>
    <row r="216" spans="1:7" x14ac:dyDescent="0.3">
      <c r="A216">
        <f t="shared" si="3"/>
        <v>215</v>
      </c>
      <c r="B216">
        <f>Sheet1!A216</f>
        <v>30104</v>
      </c>
      <c r="C216">
        <f>IF(Sheet1!U216="HEAVY",2,1)</f>
        <v>2</v>
      </c>
      <c r="D216" t="str">
        <f>Sheet1!C216</f>
        <v>EM_TRANSFER_ROBOT_OUT_PENDANT_EMS</v>
      </c>
      <c r="E216" t="s">
        <v>105</v>
      </c>
      <c r="F216" t="str">
        <f>Sheet1!W216</f>
        <v>SAFETY</v>
      </c>
      <c r="G216" t="str">
        <f>Sheet1!E216</f>
        <v>OUT로봇 팬던트에 비상 정지 버튼이 눌렸습니다</v>
      </c>
    </row>
    <row r="217" spans="1:7" x14ac:dyDescent="0.3">
      <c r="A217">
        <f t="shared" si="3"/>
        <v>216</v>
      </c>
      <c r="B217">
        <f>Sheet1!A217</f>
        <v>30105</v>
      </c>
      <c r="C217">
        <f>IF(Sheet1!U217="HEAVY",2,1)</f>
        <v>2</v>
      </c>
      <c r="D217" t="str">
        <f>Sheet1!C217</f>
        <v>EM_TRANSFER_ROBOT_OUT_CONTROLLER_EMS</v>
      </c>
      <c r="E217" t="s">
        <v>105</v>
      </c>
      <c r="F217" t="str">
        <f>Sheet1!W217</f>
        <v>SAFETY</v>
      </c>
      <c r="G217" t="str">
        <f>Sheet1!E217</f>
        <v>OUT로봇 컨트롤러에 비상 정지 버튼이 눌렸습니다</v>
      </c>
    </row>
    <row r="218" spans="1:7" x14ac:dyDescent="0.3">
      <c r="A218">
        <f t="shared" si="3"/>
        <v>217</v>
      </c>
      <c r="B218">
        <f>Sheet1!A218</f>
        <v>30106</v>
      </c>
      <c r="C218">
        <f>IF(Sheet1!U218="HEAVY",2,1)</f>
        <v>2</v>
      </c>
      <c r="D218" t="str">
        <f>Sheet1!C218</f>
        <v>DO_MAIN_ANY_DOOR_FORECE_RELEASED_X02A</v>
      </c>
      <c r="E218" t="s">
        <v>105</v>
      </c>
      <c r="F218" t="str">
        <f>Sheet1!W218</f>
        <v>SAFETY</v>
      </c>
      <c r="G218" t="str">
        <f>Sheet1!E218</f>
        <v>도어락이 강제로 해제되었습니다</v>
      </c>
    </row>
    <row r="219" spans="1:7" x14ac:dyDescent="0.3">
      <c r="A219">
        <f t="shared" si="3"/>
        <v>218</v>
      </c>
      <c r="B219">
        <f>Sheet1!A219</f>
        <v>40000</v>
      </c>
      <c r="C219">
        <f>IF(Sheet1!U219="HEAVY",2,1)</f>
        <v>2</v>
      </c>
      <c r="D219" t="str">
        <f>Sheet1!C219</f>
        <v>EF_PREFORM4_MAIN_EQUIPMENT_SILENT_STOP</v>
      </c>
      <c r="E219" t="s">
        <v>105</v>
      </c>
      <c r="F219" t="str">
        <f>Sheet1!W219</f>
        <v>ETC</v>
      </c>
      <c r="G219" t="str">
        <f>Sheet1!E219</f>
        <v>설비에서 무언 정지가 발생 했습니다</v>
      </c>
    </row>
    <row r="220" spans="1:7" x14ac:dyDescent="0.3">
      <c r="A220">
        <f t="shared" si="3"/>
        <v>219</v>
      </c>
      <c r="B220">
        <f>Sheet1!A220</f>
        <v>40001</v>
      </c>
      <c r="C220">
        <f>IF(Sheet1!U220="HEAVY",2,1)</f>
        <v>1</v>
      </c>
      <c r="D220" t="str">
        <f>Sheet1!C220</f>
        <v>EF_IN_SHUTTLE_CELL_DAMAGED_CHECK</v>
      </c>
      <c r="E220" t="s">
        <v>105</v>
      </c>
      <c r="F220" t="str">
        <f>Sheet1!W220</f>
        <v>ETC</v>
      </c>
      <c r="G220" t="str">
        <f>Sheet1!E220</f>
        <v>투입 셔틀 셀의 손상 유무를 확인 하세요</v>
      </c>
    </row>
    <row r="221" spans="1:7" x14ac:dyDescent="0.3">
      <c r="A221">
        <f t="shared" si="3"/>
        <v>220</v>
      </c>
      <c r="B221">
        <f>Sheet1!A221</f>
        <v>40002</v>
      </c>
      <c r="C221">
        <f>IF(Sheet1!U221="HEAVY",2,1)</f>
        <v>1</v>
      </c>
      <c r="D221" t="str">
        <f>Sheet1!C221</f>
        <v>EF_IN_ROBOT_CELL_DAMAGED_CHECK</v>
      </c>
      <c r="E221" t="s">
        <v>105</v>
      </c>
      <c r="F221" t="str">
        <f>Sheet1!W221</f>
        <v>ETC</v>
      </c>
      <c r="G221" t="str">
        <f>Sheet1!E221</f>
        <v>IN로봇 셀의 손상 유무를 확인 하세요</v>
      </c>
    </row>
    <row r="222" spans="1:7" x14ac:dyDescent="0.3">
      <c r="A222">
        <f t="shared" si="3"/>
        <v>221</v>
      </c>
      <c r="B222">
        <f>Sheet1!A222</f>
        <v>40003</v>
      </c>
      <c r="C222">
        <f>IF(Sheet1!U222="HEAVY",2,1)</f>
        <v>1</v>
      </c>
      <c r="D222" t="str">
        <f>Sheet1!C222</f>
        <v>EF_INSP_STAGE_CELL_DAMAGED_CHECK</v>
      </c>
      <c r="E222" t="s">
        <v>105</v>
      </c>
      <c r="F222" t="str">
        <f>Sheet1!W222</f>
        <v>ETC</v>
      </c>
      <c r="G222" t="str">
        <f>Sheet1!E222</f>
        <v>검사 스테이지 셀의 손상 유무를 확인 하세요</v>
      </c>
    </row>
    <row r="223" spans="1:7" x14ac:dyDescent="0.3">
      <c r="A223">
        <f t="shared" si="3"/>
        <v>222</v>
      </c>
      <c r="B223">
        <f>Sheet1!A223</f>
        <v>40004</v>
      </c>
      <c r="C223">
        <f>IF(Sheet1!U223="HEAVY",2,1)</f>
        <v>1</v>
      </c>
      <c r="D223" t="str">
        <f>Sheet1!C223</f>
        <v>EF_OUT_ROBOT_CELL_DAMAGED_CHECK</v>
      </c>
      <c r="E223" t="s">
        <v>105</v>
      </c>
      <c r="F223" t="str">
        <f>Sheet1!W223</f>
        <v>ETC</v>
      </c>
      <c r="G223" t="str">
        <f>Sheet1!E223</f>
        <v>OUT로봇 셀의 손상 유무를 확인 하세요</v>
      </c>
    </row>
    <row r="224" spans="1:7" x14ac:dyDescent="0.3">
      <c r="A224">
        <f t="shared" si="3"/>
        <v>223</v>
      </c>
      <c r="B224">
        <f>Sheet1!A224</f>
        <v>40005</v>
      </c>
      <c r="C224">
        <f>IF(Sheet1!U224="HEAVY",2,1)</f>
        <v>1</v>
      </c>
      <c r="D224" t="str">
        <f>Sheet1!C224</f>
        <v>EF_OUT_FLIP_CELL_DAMAGED_CHECK</v>
      </c>
      <c r="E224" t="s">
        <v>105</v>
      </c>
      <c r="F224" t="str">
        <f>Sheet1!W224</f>
        <v>ETC</v>
      </c>
      <c r="G224" t="str">
        <f>Sheet1!E224</f>
        <v>OUT플립 셀의 손상 유무를 확인 하세요</v>
      </c>
    </row>
    <row r="225" spans="1:7" x14ac:dyDescent="0.3">
      <c r="A225">
        <f t="shared" si="3"/>
        <v>224</v>
      </c>
      <c r="B225">
        <f>Sheet1!A225</f>
        <v>0</v>
      </c>
      <c r="C225">
        <f>IF(Sheet1!U225="HEAVY",2,1)</f>
        <v>1</v>
      </c>
      <c r="D225">
        <f>Sheet1!C225</f>
        <v>0</v>
      </c>
      <c r="E225" t="s">
        <v>105</v>
      </c>
      <c r="F225">
        <f>Sheet1!W225</f>
        <v>0</v>
      </c>
      <c r="G225">
        <f>Sheet1!E225</f>
        <v>0</v>
      </c>
    </row>
    <row r="226" spans="1:7" x14ac:dyDescent="0.3">
      <c r="A226">
        <f t="shared" si="3"/>
        <v>225</v>
      </c>
      <c r="B226">
        <f>Sheet1!A226</f>
        <v>0</v>
      </c>
      <c r="C226">
        <f>IF(Sheet1!U226="HEAVY",2,1)</f>
        <v>1</v>
      </c>
      <c r="D226">
        <f>Sheet1!C226</f>
        <v>0</v>
      </c>
      <c r="E226" t="s">
        <v>105</v>
      </c>
      <c r="F226">
        <f>Sheet1!W226</f>
        <v>0</v>
      </c>
      <c r="G226">
        <f>Sheet1!E226</f>
        <v>0</v>
      </c>
    </row>
    <row r="227" spans="1:7" x14ac:dyDescent="0.3">
      <c r="A227">
        <f t="shared" si="3"/>
        <v>226</v>
      </c>
      <c r="B227">
        <f>Sheet1!A227</f>
        <v>0</v>
      </c>
      <c r="C227">
        <f>IF(Sheet1!U227="HEAVY",2,1)</f>
        <v>1</v>
      </c>
      <c r="D227">
        <f>Sheet1!C227</f>
        <v>0</v>
      </c>
      <c r="E227" t="s">
        <v>105</v>
      </c>
      <c r="F227">
        <f>Sheet1!W227</f>
        <v>0</v>
      </c>
      <c r="G227">
        <f>Sheet1!E227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"/>
  <sheetViews>
    <sheetView zoomScaleNormal="100" workbookViewId="0">
      <pane ySplit="1" topLeftCell="A2" activePane="bottomLeft" state="frozen"/>
      <selection pane="bottomLeft" activeCell="A2" sqref="A2:E224"/>
    </sheetView>
  </sheetViews>
  <sheetFormatPr defaultRowHeight="16.5" x14ac:dyDescent="0.3"/>
  <cols>
    <col min="3" max="3" width="68" bestFit="1" customWidth="1"/>
  </cols>
  <sheetData>
    <row r="1" spans="1:5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3">
      <c r="A2">
        <f>IF(Sheet1!A2="", "", Sheet1!A2)</f>
        <v>10000</v>
      </c>
      <c r="B2" t="str">
        <f>IF(Sheet1!U2="", "", IF(Sheet1!U2="HEAVY","SERIOUS","LIGHT"))</f>
        <v>SERIOUS</v>
      </c>
      <c r="C2" t="str">
        <f>IF(Sheet1!C2="","",Sheet1!C2)</f>
        <v>EM_UPPER_EQUIPMENT_N_EMERGENCY_STATE</v>
      </c>
      <c r="D2" t="s">
        <v>87</v>
      </c>
      <c r="E2" t="str">
        <f>IF(A2="","","TRUE")</f>
        <v>TRUE</v>
      </c>
    </row>
    <row r="3" spans="1:5" x14ac:dyDescent="0.3">
      <c r="A3">
        <f>IF(Sheet1!A3="", "", Sheet1!A3)</f>
        <v>10001</v>
      </c>
      <c r="B3" t="str">
        <f>IF(Sheet1!U3="", "", IF(Sheet1!U3="HEAVY","SERIOUS","LIGHT"))</f>
        <v>LIGHT</v>
      </c>
      <c r="C3" t="str">
        <f>IF(Sheet1!C3="","",Sheet1!C3)</f>
        <v>EM_UPPER_EQUIPMENT_DOOR_OPEN</v>
      </c>
      <c r="D3" t="s">
        <v>87</v>
      </c>
      <c r="E3" t="str">
        <f t="shared" ref="E3:E66" si="0">IF(A3="","","TRUE")</f>
        <v>TRUE</v>
      </c>
    </row>
    <row r="4" spans="1:5" x14ac:dyDescent="0.3">
      <c r="A4">
        <f>IF(Sheet1!A4="", "", Sheet1!A4)</f>
        <v>10500</v>
      </c>
      <c r="B4" t="str">
        <f>IF(Sheet1!U4="", "", IF(Sheet1!U4="HEAVY","SERIOUS","LIGHT"))</f>
        <v>SERIOUS</v>
      </c>
      <c r="C4" t="str">
        <f>IF(Sheet1!C4="","",Sheet1!C4)</f>
        <v>MO_IN_SHUTTLE_X1_HOME_MOTION</v>
      </c>
      <c r="D4" t="s">
        <v>87</v>
      </c>
      <c r="E4" t="str">
        <f t="shared" si="0"/>
        <v>TRUE</v>
      </c>
    </row>
    <row r="5" spans="1:5" x14ac:dyDescent="0.3">
      <c r="A5">
        <f>IF(Sheet1!A5="", "", Sheet1!A5)</f>
        <v>10501</v>
      </c>
      <c r="B5" t="str">
        <f>IF(Sheet1!U5="", "", IF(Sheet1!U5="HEAVY","SERIOUS","LIGHT"))</f>
        <v>SERIOUS</v>
      </c>
      <c r="C5" t="str">
        <f>IF(Sheet1!C5="","",Sheet1!C5)</f>
        <v>MO_IN_SHUTTLE_X1_LOAD_MOVE</v>
      </c>
      <c r="D5" t="s">
        <v>87</v>
      </c>
      <c r="E5" t="str">
        <f t="shared" si="0"/>
        <v>TRUE</v>
      </c>
    </row>
    <row r="6" spans="1:5" x14ac:dyDescent="0.3">
      <c r="A6">
        <f>IF(Sheet1!A6="", "", Sheet1!A6)</f>
        <v>10502</v>
      </c>
      <c r="B6" t="str">
        <f>IF(Sheet1!U6="", "", IF(Sheet1!U6="HEAVY","SERIOUS","LIGHT"))</f>
        <v>SERIOUS</v>
      </c>
      <c r="C6" t="str">
        <f>IF(Sheet1!C6="","",Sheet1!C6)</f>
        <v>MO_IN_SHUTTLE_X1_SCAN_START_WAIT_MOVE</v>
      </c>
      <c r="D6" t="s">
        <v>87</v>
      </c>
      <c r="E6" t="str">
        <f t="shared" si="0"/>
        <v>TRUE</v>
      </c>
    </row>
    <row r="7" spans="1:5" x14ac:dyDescent="0.3">
      <c r="A7">
        <f>IF(Sheet1!A7="", "", Sheet1!A7)</f>
        <v>10503</v>
      </c>
      <c r="B7" t="str">
        <f>IF(Sheet1!U7="", "", IF(Sheet1!U7="HEAVY","SERIOUS","LIGHT"))</f>
        <v>SERIOUS</v>
      </c>
      <c r="C7" t="str">
        <f>IF(Sheet1!C7="","",Sheet1!C7)</f>
        <v>MO_IN_SHUTTLE_X1_SCAN_TRIGGER_START_MOVE</v>
      </c>
      <c r="D7" t="s">
        <v>87</v>
      </c>
      <c r="E7" t="str">
        <f t="shared" si="0"/>
        <v>TRUE</v>
      </c>
    </row>
    <row r="8" spans="1:5" x14ac:dyDescent="0.3">
      <c r="A8">
        <f>IF(Sheet1!A8="", "", Sheet1!A8)</f>
        <v>10504</v>
      </c>
      <c r="B8" t="str">
        <f>IF(Sheet1!U8="", "", IF(Sheet1!U8="HEAVY","SERIOUS","LIGHT"))</f>
        <v>SERIOUS</v>
      </c>
      <c r="C8" t="str">
        <f>IF(Sheet1!C8="","",Sheet1!C8)</f>
        <v>MO_IN_SHUTTLE_X1_SCAN_TRIGGER_END_MOVE</v>
      </c>
      <c r="D8" t="s">
        <v>87</v>
      </c>
      <c r="E8" t="str">
        <f t="shared" si="0"/>
        <v>TRUE</v>
      </c>
    </row>
    <row r="9" spans="1:5" x14ac:dyDescent="0.3">
      <c r="A9">
        <f>IF(Sheet1!A9="", "", Sheet1!A9)</f>
        <v>10505</v>
      </c>
      <c r="B9" t="str">
        <f>IF(Sheet1!U9="", "", IF(Sheet1!U9="HEAVY","SERIOUS","LIGHT"))</f>
        <v>SERIOUS</v>
      </c>
      <c r="C9" t="str">
        <f>IF(Sheet1!C9="","",Sheet1!C9)</f>
        <v>MO_IN_SHUTTLE_X1_ALIGN_MOVE</v>
      </c>
      <c r="D9" t="s">
        <v>87</v>
      </c>
      <c r="E9" t="str">
        <f t="shared" si="0"/>
        <v>TRUE</v>
      </c>
    </row>
    <row r="10" spans="1:5" x14ac:dyDescent="0.3">
      <c r="A10">
        <f>IF(Sheet1!A10="", "", Sheet1!A10)</f>
        <v>10506</v>
      </c>
      <c r="B10" t="str">
        <f>IF(Sheet1!U10="", "", IF(Sheet1!U10="HEAVY","SERIOUS","LIGHT"))</f>
        <v>SERIOUS</v>
      </c>
      <c r="C10" t="str">
        <f>IF(Sheet1!C10="","",Sheet1!C10)</f>
        <v>MO_IN_SHUTTLE_X1_UNLOAD_MOVE</v>
      </c>
      <c r="D10" t="s">
        <v>87</v>
      </c>
      <c r="E10" t="str">
        <f t="shared" si="0"/>
        <v>TRUE</v>
      </c>
    </row>
    <row r="11" spans="1:5" x14ac:dyDescent="0.3">
      <c r="A11">
        <f>IF(Sheet1!A11="", "", Sheet1!A11)</f>
        <v>10600</v>
      </c>
      <c r="B11" t="str">
        <f>IF(Sheet1!U11="", "", IF(Sheet1!U11="HEAVY","SERIOUS","LIGHT"))</f>
        <v>SERIOUS</v>
      </c>
      <c r="C11" t="str">
        <f>IF(Sheet1!C11="","",Sheet1!C11)</f>
        <v>VC_IN_SHUTTLE_P1_VACUUM</v>
      </c>
      <c r="D11" t="s">
        <v>87</v>
      </c>
      <c r="E11" t="str">
        <f t="shared" si="0"/>
        <v>TRUE</v>
      </c>
    </row>
    <row r="12" spans="1:5" x14ac:dyDescent="0.3">
      <c r="A12">
        <f>IF(Sheet1!A12="", "", Sheet1!A12)</f>
        <v>10601</v>
      </c>
      <c r="B12" t="str">
        <f>IF(Sheet1!U12="", "", IF(Sheet1!U12="HEAVY","SERIOUS","LIGHT"))</f>
        <v>SERIOUS</v>
      </c>
      <c r="C12" t="str">
        <f>IF(Sheet1!C12="","",Sheet1!C12)</f>
        <v>VC_IN_SHUTTLE_P1_BLOW</v>
      </c>
      <c r="D12" t="s">
        <v>87</v>
      </c>
      <c r="E12" t="str">
        <f t="shared" si="0"/>
        <v>TRUE</v>
      </c>
    </row>
    <row r="13" spans="1:5" x14ac:dyDescent="0.3">
      <c r="A13">
        <f>IF(Sheet1!A13="", "", Sheet1!A13)</f>
        <v>10602</v>
      </c>
      <c r="B13" t="str">
        <f>IF(Sheet1!U13="", "", IF(Sheet1!U13="HEAVY","SERIOUS","LIGHT"))</f>
        <v>SERIOUS</v>
      </c>
      <c r="C13" t="str">
        <f>IF(Sheet1!C13="","",Sheet1!C13)</f>
        <v>SE_IN_SHUTTLE_P1_VACUUM_CHECK</v>
      </c>
      <c r="D13" t="s">
        <v>87</v>
      </c>
      <c r="E13" t="str">
        <f t="shared" si="0"/>
        <v>TRUE</v>
      </c>
    </row>
    <row r="14" spans="1:5" x14ac:dyDescent="0.3">
      <c r="A14">
        <f>IF(Sheet1!A14="", "", Sheet1!A14)</f>
        <v>10603</v>
      </c>
      <c r="B14" t="str">
        <f>IF(Sheet1!U14="", "", IF(Sheet1!U14="HEAVY","SERIOUS","LIGHT"))</f>
        <v>SERIOUS</v>
      </c>
      <c r="C14" t="str">
        <f>IF(Sheet1!C14="","",Sheet1!C14)</f>
        <v>SE_IN_SHUTTLE_P1_SENSOR_CHECK</v>
      </c>
      <c r="D14" t="s">
        <v>87</v>
      </c>
      <c r="E14" t="str">
        <f t="shared" si="0"/>
        <v>TRUE</v>
      </c>
    </row>
    <row r="15" spans="1:5" x14ac:dyDescent="0.3">
      <c r="A15">
        <f>IF(Sheet1!A15="", "", Sheet1!A15)</f>
        <v>10604</v>
      </c>
      <c r="B15" t="str">
        <f>IF(Sheet1!U15="", "", IF(Sheet1!U15="HEAVY","SERIOUS","LIGHT"))</f>
        <v>SERIOUS</v>
      </c>
      <c r="C15" t="str">
        <f>IF(Sheet1!C15="","",Sheet1!C15)</f>
        <v>SE_IN_SHUTTLE_P1_VACUUM_OVERLAP</v>
      </c>
      <c r="D15" t="s">
        <v>87</v>
      </c>
      <c r="E15" t="str">
        <f t="shared" si="0"/>
        <v>TRUE</v>
      </c>
    </row>
    <row r="16" spans="1:5" x14ac:dyDescent="0.3">
      <c r="A16">
        <f>IF(Sheet1!A16="", "", Sheet1!A16)</f>
        <v>10605</v>
      </c>
      <c r="B16" t="str">
        <f>IF(Sheet1!U16="", "", IF(Sheet1!U16="HEAVY","SERIOUS","LIGHT"))</f>
        <v>SERIOUS</v>
      </c>
      <c r="C16" t="str">
        <f>IF(Sheet1!C16="","",Sheet1!C16)</f>
        <v>SE_IN_SHUTTLE_P1_SENSOR_OVERLAP</v>
      </c>
      <c r="D16" t="s">
        <v>87</v>
      </c>
      <c r="E16" t="str">
        <f t="shared" si="0"/>
        <v>TRUE</v>
      </c>
    </row>
    <row r="17" spans="1:5" x14ac:dyDescent="0.3">
      <c r="A17">
        <f>IF(Sheet1!A17="", "", Sheet1!A17)</f>
        <v>10610</v>
      </c>
      <c r="B17" t="str">
        <f>IF(Sheet1!U17="", "", IF(Sheet1!U17="HEAVY","SERIOUS","LIGHT"))</f>
        <v>SERIOUS</v>
      </c>
      <c r="C17" t="str">
        <f>IF(Sheet1!C17="","",Sheet1!C17)</f>
        <v>VC_IN_SHUTTLE_P2_VACUUM</v>
      </c>
      <c r="D17" t="s">
        <v>87</v>
      </c>
      <c r="E17" t="str">
        <f t="shared" si="0"/>
        <v>TRUE</v>
      </c>
    </row>
    <row r="18" spans="1:5" x14ac:dyDescent="0.3">
      <c r="A18">
        <f>IF(Sheet1!A18="", "", Sheet1!A18)</f>
        <v>10611</v>
      </c>
      <c r="B18" t="str">
        <f>IF(Sheet1!U18="", "", IF(Sheet1!U18="HEAVY","SERIOUS","LIGHT"))</f>
        <v>SERIOUS</v>
      </c>
      <c r="C18" t="str">
        <f>IF(Sheet1!C18="","",Sheet1!C18)</f>
        <v>VC_IN_SHUTTLE_P2_BLOW</v>
      </c>
      <c r="D18" t="s">
        <v>87</v>
      </c>
      <c r="E18" t="str">
        <f t="shared" si="0"/>
        <v>TRUE</v>
      </c>
    </row>
    <row r="19" spans="1:5" x14ac:dyDescent="0.3">
      <c r="A19">
        <f>IF(Sheet1!A19="", "", Sheet1!A19)</f>
        <v>10612</v>
      </c>
      <c r="B19" t="str">
        <f>IF(Sheet1!U19="", "", IF(Sheet1!U19="HEAVY","SERIOUS","LIGHT"))</f>
        <v>SERIOUS</v>
      </c>
      <c r="C19" t="str">
        <f>IF(Sheet1!C19="","",Sheet1!C19)</f>
        <v>SE_IN_SHUTTLE_P2_VACUUM_CHECK</v>
      </c>
      <c r="D19" t="s">
        <v>87</v>
      </c>
      <c r="E19" t="str">
        <f t="shared" si="0"/>
        <v>TRUE</v>
      </c>
    </row>
    <row r="20" spans="1:5" x14ac:dyDescent="0.3">
      <c r="A20">
        <f>IF(Sheet1!A20="", "", Sheet1!A20)</f>
        <v>10613</v>
      </c>
      <c r="B20" t="str">
        <f>IF(Sheet1!U20="", "", IF(Sheet1!U20="HEAVY","SERIOUS","LIGHT"))</f>
        <v>SERIOUS</v>
      </c>
      <c r="C20" t="str">
        <f>IF(Sheet1!C20="","",Sheet1!C20)</f>
        <v>SE_IN_SHUTTLE_P2_SENSOR_CHECK</v>
      </c>
      <c r="D20" t="s">
        <v>87</v>
      </c>
      <c r="E20" t="str">
        <f t="shared" si="0"/>
        <v>TRUE</v>
      </c>
    </row>
    <row r="21" spans="1:5" x14ac:dyDescent="0.3">
      <c r="A21">
        <f>IF(Sheet1!A21="", "", Sheet1!A21)</f>
        <v>10614</v>
      </c>
      <c r="B21" t="str">
        <f>IF(Sheet1!U21="", "", IF(Sheet1!U21="HEAVY","SERIOUS","LIGHT"))</f>
        <v>SERIOUS</v>
      </c>
      <c r="C21" t="str">
        <f>IF(Sheet1!C21="","",Sheet1!C21)</f>
        <v>SE_IN_SHUTTLE_P2_VACUUM_OVERLAP</v>
      </c>
      <c r="D21" t="s">
        <v>87</v>
      </c>
      <c r="E21" t="str">
        <f t="shared" si="0"/>
        <v>TRUE</v>
      </c>
    </row>
    <row r="22" spans="1:5" x14ac:dyDescent="0.3">
      <c r="A22">
        <f>IF(Sheet1!A22="", "", Sheet1!A22)</f>
        <v>10615</v>
      </c>
      <c r="B22" t="str">
        <f>IF(Sheet1!U22="", "", IF(Sheet1!U22="HEAVY","SERIOUS","LIGHT"))</f>
        <v>SERIOUS</v>
      </c>
      <c r="C22" t="str">
        <f>IF(Sheet1!C22="","",Sheet1!C22)</f>
        <v>SE_IN_SHUTTLE_P2_SENSOR_OVERLAP</v>
      </c>
      <c r="D22" t="s">
        <v>87</v>
      </c>
      <c r="E22" t="str">
        <f t="shared" si="0"/>
        <v>TRUE</v>
      </c>
    </row>
    <row r="23" spans="1:5" x14ac:dyDescent="0.3">
      <c r="A23">
        <f>IF(Sheet1!A23="", "", Sheet1!A23)</f>
        <v>11000</v>
      </c>
      <c r="B23" t="str">
        <f>IF(Sheet1!U23="", "", IF(Sheet1!U23="HEAVY","SERIOUS","LIGHT"))</f>
        <v>SERIOUS</v>
      </c>
      <c r="C23" t="str">
        <f>IF(Sheet1!C23="","",Sheet1!C23)</f>
        <v>MO_TRANSFER_ROBOT_IN_N_INITIALIZE</v>
      </c>
      <c r="D23" t="s">
        <v>87</v>
      </c>
      <c r="E23" t="str">
        <f t="shared" si="0"/>
        <v>TRUE</v>
      </c>
    </row>
    <row r="24" spans="1:5" x14ac:dyDescent="0.3">
      <c r="A24">
        <f>IF(Sheet1!A24="", "", Sheet1!A24)</f>
        <v>11001</v>
      </c>
      <c r="B24" t="str">
        <f>IF(Sheet1!U24="", "", IF(Sheet1!U24="HEAVY","SERIOUS","LIGHT"))</f>
        <v>SERIOUS</v>
      </c>
      <c r="C24" t="str">
        <f>IF(Sheet1!C24="","",Sheet1!C24)</f>
        <v>MO_TRANSFER_ROBOT_IN_PROCESS_SKIP</v>
      </c>
      <c r="D24" t="s">
        <v>87</v>
      </c>
      <c r="E24" t="str">
        <f t="shared" si="0"/>
        <v>TRUE</v>
      </c>
    </row>
    <row r="25" spans="1:5" x14ac:dyDescent="0.3">
      <c r="A25">
        <f>IF(Sheet1!A25="", "", Sheet1!A25)</f>
        <v>11002</v>
      </c>
      <c r="B25" t="str">
        <f>IF(Sheet1!U25="", "", IF(Sheet1!U25="HEAVY","SERIOUS","LIGHT"))</f>
        <v>SERIOUS</v>
      </c>
      <c r="C25" t="str">
        <f>IF(Sheet1!C25="","",Sheet1!C25)</f>
        <v>MO_TRANSFER_ROBOT_IN_ENTER_JCM_MODE</v>
      </c>
      <c r="D25" t="s">
        <v>87</v>
      </c>
      <c r="E25" t="str">
        <f t="shared" si="0"/>
        <v>TRUE</v>
      </c>
    </row>
    <row r="26" spans="1:5" x14ac:dyDescent="0.3">
      <c r="A26">
        <f>IF(Sheet1!A26="", "", Sheet1!A26)</f>
        <v>11003</v>
      </c>
      <c r="B26" t="str">
        <f>IF(Sheet1!U26="", "", IF(Sheet1!U26="HEAVY","SERIOUS","LIGHT"))</f>
        <v>SERIOUS</v>
      </c>
      <c r="C26" t="str">
        <f>IF(Sheet1!C26="","",Sheet1!C26)</f>
        <v>MO_TRANSFER_ROBOT_IN_JCM_MODE_MOVE</v>
      </c>
      <c r="D26" t="s">
        <v>87</v>
      </c>
      <c r="E26" t="str">
        <f t="shared" si="0"/>
        <v>TRUE</v>
      </c>
    </row>
    <row r="27" spans="1:5" x14ac:dyDescent="0.3">
      <c r="A27">
        <f>IF(Sheet1!A27="", "", Sheet1!A27)</f>
        <v>11004</v>
      </c>
      <c r="B27" t="str">
        <f>IF(Sheet1!U27="", "", IF(Sheet1!U27="HEAVY","SERIOUS","LIGHT"))</f>
        <v>SERIOUS</v>
      </c>
      <c r="C27" t="str">
        <f>IF(Sheet1!C27="","",Sheet1!C27)</f>
        <v>MO_TRANSFER_ROBOT_IN_EXIT_JCM_MODE</v>
      </c>
      <c r="D27" t="s">
        <v>87</v>
      </c>
      <c r="E27" t="str">
        <f t="shared" si="0"/>
        <v>TRUE</v>
      </c>
    </row>
    <row r="28" spans="1:5" x14ac:dyDescent="0.3">
      <c r="A28">
        <f>IF(Sheet1!A28="", "", Sheet1!A28)</f>
        <v>11005</v>
      </c>
      <c r="B28" t="str">
        <f>IF(Sheet1!U28="", "", IF(Sheet1!U28="HEAVY","SERIOUS","LIGHT"))</f>
        <v>SERIOUS</v>
      </c>
      <c r="C28" t="str">
        <f>IF(Sheet1!C28="","",Sheet1!C28)</f>
        <v>MO_TRANSFER_ROBOT_IN_LOAD_BEGIN</v>
      </c>
      <c r="D28" t="s">
        <v>87</v>
      </c>
      <c r="E28" t="str">
        <f t="shared" si="0"/>
        <v>TRUE</v>
      </c>
    </row>
    <row r="29" spans="1:5" x14ac:dyDescent="0.3">
      <c r="A29">
        <f>IF(Sheet1!A29="", "", Sheet1!A29)</f>
        <v>11006</v>
      </c>
      <c r="B29" t="str">
        <f>IF(Sheet1!U29="", "", IF(Sheet1!U29="HEAVY","SERIOUS","LIGHT"))</f>
        <v>SERIOUS</v>
      </c>
      <c r="C29" t="str">
        <f>IF(Sheet1!C29="","",Sheet1!C29)</f>
        <v>MO_TRANSFER_ROBOT_IN_LOAD_PERMIT</v>
      </c>
      <c r="D29" t="s">
        <v>87</v>
      </c>
      <c r="E29" t="str">
        <f t="shared" si="0"/>
        <v>TRUE</v>
      </c>
    </row>
    <row r="30" spans="1:5" x14ac:dyDescent="0.3">
      <c r="A30">
        <f>IF(Sheet1!A30="", "", Sheet1!A30)</f>
        <v>11007</v>
      </c>
      <c r="B30" t="str">
        <f>IF(Sheet1!U30="", "", IF(Sheet1!U30="HEAVY","SERIOUS","LIGHT"))</f>
        <v>SERIOUS</v>
      </c>
      <c r="C30" t="str">
        <f>IF(Sheet1!C30="","",Sheet1!C30)</f>
        <v>MO_TRANSFER_ROBOT_IN_LOAD_EXIT</v>
      </c>
      <c r="D30" t="s">
        <v>87</v>
      </c>
      <c r="E30" t="str">
        <f t="shared" si="0"/>
        <v>TRUE</v>
      </c>
    </row>
    <row r="31" spans="1:5" x14ac:dyDescent="0.3">
      <c r="A31">
        <f>IF(Sheet1!A31="", "", Sheet1!A31)</f>
        <v>11008</v>
      </c>
      <c r="B31" t="str">
        <f>IF(Sheet1!U31="", "", IF(Sheet1!U31="HEAVY","SERIOUS","LIGHT"))</f>
        <v>SERIOUS</v>
      </c>
      <c r="C31" t="str">
        <f>IF(Sheet1!C31="","",Sheet1!C31)</f>
        <v>MO_TRANSFER_ROBOT_IN_MCR_BEGIN</v>
      </c>
      <c r="D31" t="s">
        <v>87</v>
      </c>
      <c r="E31" t="str">
        <f t="shared" si="0"/>
        <v>TRUE</v>
      </c>
    </row>
    <row r="32" spans="1:5" x14ac:dyDescent="0.3">
      <c r="A32">
        <f>IF(Sheet1!A32="", "", Sheet1!A32)</f>
        <v>11009</v>
      </c>
      <c r="B32" t="str">
        <f>IF(Sheet1!U32="", "", IF(Sheet1!U32="HEAVY","SERIOUS","LIGHT"))</f>
        <v>SERIOUS</v>
      </c>
      <c r="C32" t="str">
        <f>IF(Sheet1!C32="","",Sheet1!C32)</f>
        <v>MO_TRANSFER_ROBOT_IN_MCR_PERMIT</v>
      </c>
      <c r="D32" t="s">
        <v>87</v>
      </c>
      <c r="E32" t="str">
        <f t="shared" si="0"/>
        <v>TRUE</v>
      </c>
    </row>
    <row r="33" spans="1:5" x14ac:dyDescent="0.3">
      <c r="A33">
        <f>IF(Sheet1!A33="", "", Sheet1!A33)</f>
        <v>11010</v>
      </c>
      <c r="B33" t="str">
        <f>IF(Sheet1!U33="", "", IF(Sheet1!U33="HEAVY","SERIOUS","LIGHT"))</f>
        <v>SERIOUS</v>
      </c>
      <c r="C33" t="str">
        <f>IF(Sheet1!C33="","",Sheet1!C33)</f>
        <v>MO_TRANSFER_ROBOT_IN_MCR_EXIT</v>
      </c>
      <c r="D33" t="s">
        <v>87</v>
      </c>
      <c r="E33" t="str">
        <f t="shared" si="0"/>
        <v>TRUE</v>
      </c>
    </row>
    <row r="34" spans="1:5" x14ac:dyDescent="0.3">
      <c r="A34">
        <f>IF(Sheet1!A34="", "", Sheet1!A34)</f>
        <v>11011</v>
      </c>
      <c r="B34" t="str">
        <f>IF(Sheet1!U34="", "", IF(Sheet1!U34="HEAVY","SERIOUS","LIGHT"))</f>
        <v>SERIOUS</v>
      </c>
      <c r="C34" t="str">
        <f>IF(Sheet1!C34="","",Sheet1!C34)</f>
        <v>MO_TRANSFER_ROBOT_IN_UNLOAD_BEGIN</v>
      </c>
      <c r="D34" t="s">
        <v>87</v>
      </c>
      <c r="E34" t="str">
        <f t="shared" si="0"/>
        <v>TRUE</v>
      </c>
    </row>
    <row r="35" spans="1:5" x14ac:dyDescent="0.3">
      <c r="A35">
        <f>IF(Sheet1!A35="", "", Sheet1!A35)</f>
        <v>11012</v>
      </c>
      <c r="B35" t="str">
        <f>IF(Sheet1!U35="", "", IF(Sheet1!U35="HEAVY","SERIOUS","LIGHT"))</f>
        <v>SERIOUS</v>
      </c>
      <c r="C35" t="str">
        <f>IF(Sheet1!C35="","",Sheet1!C35)</f>
        <v>MO_TRANSFER_ROBOT_IN_UNLOAD_PERMIT</v>
      </c>
      <c r="D35" t="s">
        <v>87</v>
      </c>
      <c r="E35" t="str">
        <f t="shared" si="0"/>
        <v>TRUE</v>
      </c>
    </row>
    <row r="36" spans="1:5" x14ac:dyDescent="0.3">
      <c r="A36">
        <f>IF(Sheet1!A36="", "", Sheet1!A36)</f>
        <v>11013</v>
      </c>
      <c r="B36" t="str">
        <f>IF(Sheet1!U36="", "", IF(Sheet1!U36="HEAVY","SERIOUS","LIGHT"))</f>
        <v>SERIOUS</v>
      </c>
      <c r="C36" t="str">
        <f>IF(Sheet1!C36="","",Sheet1!C36)</f>
        <v>MO_TRANSFER_ROBOT_IN_UNLOAD_EXIT</v>
      </c>
      <c r="D36" t="s">
        <v>87</v>
      </c>
      <c r="E36" t="str">
        <f t="shared" si="0"/>
        <v>TRUE</v>
      </c>
    </row>
    <row r="37" spans="1:5" x14ac:dyDescent="0.3">
      <c r="A37">
        <f>IF(Sheet1!A37="", "", Sheet1!A37)</f>
        <v>11100</v>
      </c>
      <c r="B37" t="str">
        <f>IF(Sheet1!U37="", "", IF(Sheet1!U37="HEAVY","SERIOUS","LIGHT"))</f>
        <v>SERIOUS</v>
      </c>
      <c r="C37" t="str">
        <f>IF(Sheet1!C37="","",Sheet1!C37)</f>
        <v>CY_TRANSFER_ROBOT_IN_P1_T_TURN</v>
      </c>
      <c r="D37" t="s">
        <v>87</v>
      </c>
      <c r="E37" t="str">
        <f t="shared" si="0"/>
        <v>TRUE</v>
      </c>
    </row>
    <row r="38" spans="1:5" x14ac:dyDescent="0.3">
      <c r="A38">
        <f>IF(Sheet1!A38="", "", Sheet1!A38)</f>
        <v>11101</v>
      </c>
      <c r="B38" t="str">
        <f>IF(Sheet1!U38="", "", IF(Sheet1!U38="HEAVY","SERIOUS","LIGHT"))</f>
        <v>SERIOUS</v>
      </c>
      <c r="C38" t="str">
        <f>IF(Sheet1!C38="","",Sheet1!C38)</f>
        <v>CY_TRANSFER_ROBOT_IN_P1_T_RETURN</v>
      </c>
      <c r="D38" t="s">
        <v>87</v>
      </c>
      <c r="E38" t="str">
        <f t="shared" si="0"/>
        <v>TRUE</v>
      </c>
    </row>
    <row r="39" spans="1:5" x14ac:dyDescent="0.3">
      <c r="A39">
        <f>IF(Sheet1!A39="", "", Sheet1!A39)</f>
        <v>11110</v>
      </c>
      <c r="B39" t="str">
        <f>IF(Sheet1!U39="", "", IF(Sheet1!U39="HEAVY","SERIOUS","LIGHT"))</f>
        <v>SERIOUS</v>
      </c>
      <c r="C39" t="str">
        <f>IF(Sheet1!C39="","",Sheet1!C39)</f>
        <v>CY_TRANSFER_ROBOT_IN_P2_T_TURN</v>
      </c>
      <c r="D39" t="s">
        <v>87</v>
      </c>
      <c r="E39" t="str">
        <f t="shared" si="0"/>
        <v>TRUE</v>
      </c>
    </row>
    <row r="40" spans="1:5" x14ac:dyDescent="0.3">
      <c r="A40">
        <f>IF(Sheet1!A40="", "", Sheet1!A40)</f>
        <v>11111</v>
      </c>
      <c r="B40" t="str">
        <f>IF(Sheet1!U40="", "", IF(Sheet1!U40="HEAVY","SERIOUS","LIGHT"))</f>
        <v>SERIOUS</v>
      </c>
      <c r="C40" t="str">
        <f>IF(Sheet1!C40="","",Sheet1!C40)</f>
        <v>CY_TRANSFER_ROBOT_IN_P2_T_RETURN</v>
      </c>
      <c r="D40" t="s">
        <v>87</v>
      </c>
      <c r="E40" t="str">
        <f t="shared" si="0"/>
        <v>TRUE</v>
      </c>
    </row>
    <row r="41" spans="1:5" x14ac:dyDescent="0.3">
      <c r="A41">
        <f>IF(Sheet1!A41="", "", Sheet1!A41)</f>
        <v>11120</v>
      </c>
      <c r="B41" t="str">
        <f>IF(Sheet1!U41="", "", IF(Sheet1!U41="HEAVY","SERIOUS","LIGHT"))</f>
        <v>SERIOUS</v>
      </c>
      <c r="C41" t="str">
        <f>IF(Sheet1!C41="","",Sheet1!C41)</f>
        <v>VC_TRANSFER_ROBOT_IN_P1_VACUUM</v>
      </c>
      <c r="D41" t="s">
        <v>87</v>
      </c>
      <c r="E41" t="str">
        <f t="shared" si="0"/>
        <v>TRUE</v>
      </c>
    </row>
    <row r="42" spans="1:5" x14ac:dyDescent="0.3">
      <c r="A42">
        <f>IF(Sheet1!A42="", "", Sheet1!A42)</f>
        <v>11121</v>
      </c>
      <c r="B42" t="str">
        <f>IF(Sheet1!U42="", "", IF(Sheet1!U42="HEAVY","SERIOUS","LIGHT"))</f>
        <v>SERIOUS</v>
      </c>
      <c r="C42" t="str">
        <f>IF(Sheet1!C42="","",Sheet1!C42)</f>
        <v>VC_TRANSFER_ROBOT_IN_P1_BLOW</v>
      </c>
      <c r="D42" t="s">
        <v>87</v>
      </c>
      <c r="E42" t="str">
        <f t="shared" si="0"/>
        <v>TRUE</v>
      </c>
    </row>
    <row r="43" spans="1:5" x14ac:dyDescent="0.3">
      <c r="A43">
        <f>IF(Sheet1!A43="", "", Sheet1!A43)</f>
        <v>11122</v>
      </c>
      <c r="B43" t="str">
        <f>IF(Sheet1!U43="", "", IF(Sheet1!U43="HEAVY","SERIOUS","LIGHT"))</f>
        <v>SERIOUS</v>
      </c>
      <c r="C43" t="str">
        <f>IF(Sheet1!C43="","",Sheet1!C43)</f>
        <v>SE_TRANSFER_ROBOT_IN_P1_VACUUM_CHECK</v>
      </c>
      <c r="D43" t="s">
        <v>87</v>
      </c>
      <c r="E43" t="str">
        <f t="shared" si="0"/>
        <v>TRUE</v>
      </c>
    </row>
    <row r="44" spans="1:5" x14ac:dyDescent="0.3">
      <c r="A44">
        <f>IF(Sheet1!A44="", "", Sheet1!A44)</f>
        <v>11123</v>
      </c>
      <c r="B44" t="str">
        <f>IF(Sheet1!U44="", "", IF(Sheet1!U44="HEAVY","SERIOUS","LIGHT"))</f>
        <v>SERIOUS</v>
      </c>
      <c r="C44" t="str">
        <f>IF(Sheet1!C44="","",Sheet1!C44)</f>
        <v>SE_TRANSFER_ROBOT_IN_P1_SENSOR_CHECK</v>
      </c>
      <c r="D44" t="s">
        <v>87</v>
      </c>
      <c r="E44" t="str">
        <f t="shared" si="0"/>
        <v>TRUE</v>
      </c>
    </row>
    <row r="45" spans="1:5" x14ac:dyDescent="0.3">
      <c r="A45">
        <f>IF(Sheet1!A45="", "", Sheet1!A45)</f>
        <v>11124</v>
      </c>
      <c r="B45" t="str">
        <f>IF(Sheet1!U45="", "", IF(Sheet1!U45="HEAVY","SERIOUS","LIGHT"))</f>
        <v>SERIOUS</v>
      </c>
      <c r="C45" t="str">
        <f>IF(Sheet1!C45="","",Sheet1!C45)</f>
        <v>SE_TRANSFER_ROBOT_IN_P1_VACUUM_OVERLAP</v>
      </c>
      <c r="D45" t="s">
        <v>87</v>
      </c>
      <c r="E45" t="str">
        <f t="shared" si="0"/>
        <v>TRUE</v>
      </c>
    </row>
    <row r="46" spans="1:5" x14ac:dyDescent="0.3">
      <c r="A46">
        <f>IF(Sheet1!A46="", "", Sheet1!A46)</f>
        <v>11125</v>
      </c>
      <c r="B46" t="str">
        <f>IF(Sheet1!U46="", "", IF(Sheet1!U46="HEAVY","SERIOUS","LIGHT"))</f>
        <v>SERIOUS</v>
      </c>
      <c r="C46" t="str">
        <f>IF(Sheet1!C46="","",Sheet1!C46)</f>
        <v>SE_TRANSFER_ROBOT_IN_P1_SENSOR_OVERLAP</v>
      </c>
      <c r="D46" t="s">
        <v>87</v>
      </c>
      <c r="E46" t="str">
        <f t="shared" si="0"/>
        <v>TRUE</v>
      </c>
    </row>
    <row r="47" spans="1:5" x14ac:dyDescent="0.3">
      <c r="A47">
        <f>IF(Sheet1!A47="", "", Sheet1!A47)</f>
        <v>11130</v>
      </c>
      <c r="B47" t="str">
        <f>IF(Sheet1!U47="", "", IF(Sheet1!U47="HEAVY","SERIOUS","LIGHT"))</f>
        <v>SERIOUS</v>
      </c>
      <c r="C47" t="str">
        <f>IF(Sheet1!C47="","",Sheet1!C47)</f>
        <v>VC_TRANSFER_ROBOT_IN_P2_VACUUM</v>
      </c>
      <c r="D47" t="s">
        <v>87</v>
      </c>
      <c r="E47" t="str">
        <f t="shared" si="0"/>
        <v>TRUE</v>
      </c>
    </row>
    <row r="48" spans="1:5" x14ac:dyDescent="0.3">
      <c r="A48">
        <f>IF(Sheet1!A48="", "", Sheet1!A48)</f>
        <v>11131</v>
      </c>
      <c r="B48" t="str">
        <f>IF(Sheet1!U48="", "", IF(Sheet1!U48="HEAVY","SERIOUS","LIGHT"))</f>
        <v>SERIOUS</v>
      </c>
      <c r="C48" t="str">
        <f>IF(Sheet1!C48="","",Sheet1!C48)</f>
        <v>VC_TRANSFER_ROBOT_IN_P2_BLOW</v>
      </c>
      <c r="D48" t="s">
        <v>87</v>
      </c>
      <c r="E48" t="str">
        <f t="shared" si="0"/>
        <v>TRUE</v>
      </c>
    </row>
    <row r="49" spans="1:5" x14ac:dyDescent="0.3">
      <c r="A49">
        <f>IF(Sheet1!A49="", "", Sheet1!A49)</f>
        <v>11132</v>
      </c>
      <c r="B49" t="str">
        <f>IF(Sheet1!U49="", "", IF(Sheet1!U49="HEAVY","SERIOUS","LIGHT"))</f>
        <v>SERIOUS</v>
      </c>
      <c r="C49" t="str">
        <f>IF(Sheet1!C49="","",Sheet1!C49)</f>
        <v>SE_TRANSFER_ROBOT_IN_P2_VACUUM_CHECK</v>
      </c>
      <c r="D49" t="s">
        <v>87</v>
      </c>
      <c r="E49" t="str">
        <f t="shared" si="0"/>
        <v>TRUE</v>
      </c>
    </row>
    <row r="50" spans="1:5" x14ac:dyDescent="0.3">
      <c r="A50">
        <f>IF(Sheet1!A50="", "", Sheet1!A50)</f>
        <v>11133</v>
      </c>
      <c r="B50" t="str">
        <f>IF(Sheet1!U50="", "", IF(Sheet1!U50="HEAVY","SERIOUS","LIGHT"))</f>
        <v>SERIOUS</v>
      </c>
      <c r="C50" t="str">
        <f>IF(Sheet1!C50="","",Sheet1!C50)</f>
        <v>SE_TRANSFER_ROBOT_IN_P2_SENSOR_CHECK</v>
      </c>
      <c r="D50" t="s">
        <v>87</v>
      </c>
      <c r="E50" t="str">
        <f t="shared" si="0"/>
        <v>TRUE</v>
      </c>
    </row>
    <row r="51" spans="1:5" x14ac:dyDescent="0.3">
      <c r="A51">
        <f>IF(Sheet1!A51="", "", Sheet1!A51)</f>
        <v>11134</v>
      </c>
      <c r="B51" t="str">
        <f>IF(Sheet1!U51="", "", IF(Sheet1!U51="HEAVY","SERIOUS","LIGHT"))</f>
        <v>SERIOUS</v>
      </c>
      <c r="C51" t="str">
        <f>IF(Sheet1!C51="","",Sheet1!C51)</f>
        <v>SE_TRANSFER_ROBOT_IN_P2_VACUUM_OVERLAP</v>
      </c>
      <c r="D51" t="s">
        <v>87</v>
      </c>
      <c r="E51" t="str">
        <f t="shared" si="0"/>
        <v>TRUE</v>
      </c>
    </row>
    <row r="52" spans="1:5" x14ac:dyDescent="0.3">
      <c r="A52">
        <f>IF(Sheet1!A52="", "", Sheet1!A52)</f>
        <v>11135</v>
      </c>
      <c r="B52" t="str">
        <f>IF(Sheet1!U52="", "", IF(Sheet1!U52="HEAVY","SERIOUS","LIGHT"))</f>
        <v>SERIOUS</v>
      </c>
      <c r="C52" t="str">
        <f>IF(Sheet1!C52="","",Sheet1!C52)</f>
        <v>SE_TRANSFER_ROBOT_IN_P2_SENSOR_OVERLAP</v>
      </c>
      <c r="D52" t="s">
        <v>87</v>
      </c>
      <c r="E52" t="str">
        <f t="shared" si="0"/>
        <v>TRUE</v>
      </c>
    </row>
    <row r="53" spans="1:5" x14ac:dyDescent="0.3">
      <c r="A53">
        <f>IF(Sheet1!A53="", "", Sheet1!A53)</f>
        <v>11400</v>
      </c>
      <c r="B53" t="str">
        <f>IF(Sheet1!U53="", "", IF(Sheet1!U53="HEAVY","SERIOUS","LIGHT"))</f>
        <v>SERIOUS</v>
      </c>
      <c r="C53" t="str">
        <f>IF(Sheet1!C53="","",Sheet1!C53)</f>
        <v>CO_TRANSFER_ROBOT_IN_ALIGN_DATA</v>
      </c>
      <c r="D53" t="s">
        <v>87</v>
      </c>
      <c r="E53" t="str">
        <f t="shared" si="0"/>
        <v>TRUE</v>
      </c>
    </row>
    <row r="54" spans="1:5" x14ac:dyDescent="0.3">
      <c r="A54">
        <f>IF(Sheet1!A54="", "", Sheet1!A54)</f>
        <v>11401</v>
      </c>
      <c r="B54" t="str">
        <f>IF(Sheet1!U54="", "", IF(Sheet1!U54="HEAVY","SERIOUS","LIGHT"))</f>
        <v>SERIOUS</v>
      </c>
      <c r="C54" t="str">
        <f>IF(Sheet1!C54="","",Sheet1!C54)</f>
        <v>CO_TRANSFER_ROBOT_IN_RESET_DATA</v>
      </c>
      <c r="D54" t="s">
        <v>87</v>
      </c>
      <c r="E54" t="str">
        <f t="shared" si="0"/>
        <v>TRUE</v>
      </c>
    </row>
    <row r="55" spans="1:5" x14ac:dyDescent="0.3">
      <c r="A55">
        <f>IF(Sheet1!A55="", "", Sheet1!A55)</f>
        <v>11402</v>
      </c>
      <c r="B55" t="str">
        <f>IF(Sheet1!U55="", "", IF(Sheet1!U55="HEAVY","SERIOUS","LIGHT"))</f>
        <v>SERIOUS</v>
      </c>
      <c r="C55" t="str">
        <f>IF(Sheet1!C55="","",Sheet1!C55)</f>
        <v>CO_TRANSFER_ROBOT_IN_CALIBRATION_DATA</v>
      </c>
      <c r="D55" t="s">
        <v>87</v>
      </c>
      <c r="E55" t="str">
        <f t="shared" si="0"/>
        <v>TRUE</v>
      </c>
    </row>
    <row r="56" spans="1:5" x14ac:dyDescent="0.3">
      <c r="A56">
        <f>IF(Sheet1!A56="", "", Sheet1!A56)</f>
        <v>11500</v>
      </c>
      <c r="B56" t="str">
        <f>IF(Sheet1!U56="", "", IF(Sheet1!U56="HEAVY","SERIOUS","LIGHT"))</f>
        <v>SERIOUS</v>
      </c>
      <c r="C56" t="str">
        <f>IF(Sheet1!C56="","",Sheet1!C56)</f>
        <v>MO_INSP_STAGE_Y_HOME_MOTION</v>
      </c>
      <c r="D56" t="s">
        <v>87</v>
      </c>
      <c r="E56" t="str">
        <f t="shared" si="0"/>
        <v>TRUE</v>
      </c>
    </row>
    <row r="57" spans="1:5" x14ac:dyDescent="0.3">
      <c r="A57">
        <f>IF(Sheet1!A57="", "", Sheet1!A57)</f>
        <v>11501</v>
      </c>
      <c r="B57" t="str">
        <f>IF(Sheet1!U57="", "", IF(Sheet1!U57="HEAVY","SERIOUS","LIGHT"))</f>
        <v>SERIOUS</v>
      </c>
      <c r="C57" t="str">
        <f>IF(Sheet1!C57="","",Sheet1!C57)</f>
        <v>MO_INSP_STAGE_Y_LOAD_MOVE</v>
      </c>
      <c r="D57" t="s">
        <v>87</v>
      </c>
      <c r="E57" t="str">
        <f t="shared" si="0"/>
        <v>TRUE</v>
      </c>
    </row>
    <row r="58" spans="1:5" x14ac:dyDescent="0.3">
      <c r="A58">
        <f>IF(Sheet1!A58="", "", Sheet1!A58)</f>
        <v>11502</v>
      </c>
      <c r="B58" t="str">
        <f>IF(Sheet1!U58="", "", IF(Sheet1!U58="HEAVY","SERIOUS","LIGHT"))</f>
        <v>SERIOUS</v>
      </c>
      <c r="C58" t="str">
        <f>IF(Sheet1!C58="","",Sheet1!C58)</f>
        <v>MO_INSP_STAGE_Y_GRAB_P1_MOVE</v>
      </c>
      <c r="D58" t="s">
        <v>87</v>
      </c>
      <c r="E58" t="str">
        <f t="shared" si="0"/>
        <v>TRUE</v>
      </c>
    </row>
    <row r="59" spans="1:5" x14ac:dyDescent="0.3">
      <c r="A59">
        <f>IF(Sheet1!A59="", "", Sheet1!A59)</f>
        <v>11503</v>
      </c>
      <c r="B59" t="str">
        <f>IF(Sheet1!U59="", "", IF(Sheet1!U59="HEAVY","SERIOUS","LIGHT"))</f>
        <v>SERIOUS</v>
      </c>
      <c r="C59" t="str">
        <f>IF(Sheet1!C59="","",Sheet1!C59)</f>
        <v>MO_INSP_STAGE_Y_GRAB_P2_MOVE</v>
      </c>
      <c r="D59" t="s">
        <v>87</v>
      </c>
      <c r="E59" t="str">
        <f t="shared" si="0"/>
        <v>TRUE</v>
      </c>
    </row>
    <row r="60" spans="1:5" x14ac:dyDescent="0.3">
      <c r="A60">
        <f>IF(Sheet1!A60="", "", Sheet1!A60)</f>
        <v>11504</v>
      </c>
      <c r="B60" t="str">
        <f>IF(Sheet1!U60="", "", IF(Sheet1!U60="HEAVY","SERIOUS","LIGHT"))</f>
        <v>SERIOUS</v>
      </c>
      <c r="C60" t="str">
        <f>IF(Sheet1!C60="","",Sheet1!C60)</f>
        <v>MO_INSP_STAGE_Y_UNLOAD_MOVE</v>
      </c>
      <c r="D60" t="s">
        <v>87</v>
      </c>
      <c r="E60" t="str">
        <f t="shared" si="0"/>
        <v>TRUE</v>
      </c>
    </row>
    <row r="61" spans="1:5" x14ac:dyDescent="0.3">
      <c r="A61">
        <f>IF(Sheet1!A61="", "", Sheet1!A61)</f>
        <v>11600</v>
      </c>
      <c r="B61" t="str">
        <f>IF(Sheet1!U61="", "", IF(Sheet1!U61="HEAVY","SERIOUS","LIGHT"))</f>
        <v>SERIOUS</v>
      </c>
      <c r="C61" t="str">
        <f>IF(Sheet1!C61="","",Sheet1!C61)</f>
        <v>VC_INSP_STAGE_P1_VACUUM</v>
      </c>
      <c r="D61" t="s">
        <v>87</v>
      </c>
      <c r="E61" t="str">
        <f t="shared" si="0"/>
        <v>TRUE</v>
      </c>
    </row>
    <row r="62" spans="1:5" x14ac:dyDescent="0.3">
      <c r="A62">
        <f>IF(Sheet1!A62="", "", Sheet1!A62)</f>
        <v>11601</v>
      </c>
      <c r="B62" t="str">
        <f>IF(Sheet1!U62="", "", IF(Sheet1!U62="HEAVY","SERIOUS","LIGHT"))</f>
        <v>SERIOUS</v>
      </c>
      <c r="C62" t="str">
        <f>IF(Sheet1!C62="","",Sheet1!C62)</f>
        <v>VC_INSP_STAGE_P1_BLOW</v>
      </c>
      <c r="D62" t="s">
        <v>87</v>
      </c>
      <c r="E62" t="str">
        <f t="shared" si="0"/>
        <v>TRUE</v>
      </c>
    </row>
    <row r="63" spans="1:5" x14ac:dyDescent="0.3">
      <c r="A63">
        <f>IF(Sheet1!A63="", "", Sheet1!A63)</f>
        <v>11602</v>
      </c>
      <c r="B63" t="str">
        <f>IF(Sheet1!U63="", "", IF(Sheet1!U63="HEAVY","SERIOUS","LIGHT"))</f>
        <v>SERIOUS</v>
      </c>
      <c r="C63" t="str">
        <f>IF(Sheet1!C63="","",Sheet1!C63)</f>
        <v>SE_INSP_STAGE_P1_VACUUM_CHECK</v>
      </c>
      <c r="D63" t="s">
        <v>87</v>
      </c>
      <c r="E63" t="str">
        <f t="shared" si="0"/>
        <v>TRUE</v>
      </c>
    </row>
    <row r="64" spans="1:5" x14ac:dyDescent="0.3">
      <c r="A64">
        <f>IF(Sheet1!A64="", "", Sheet1!A64)</f>
        <v>11603</v>
      </c>
      <c r="B64" t="str">
        <f>IF(Sheet1!U64="", "", IF(Sheet1!U64="HEAVY","SERIOUS","LIGHT"))</f>
        <v>SERIOUS</v>
      </c>
      <c r="C64" t="str">
        <f>IF(Sheet1!C64="","",Sheet1!C64)</f>
        <v>SE_INSP_STAGE_P1_SENSOR_CHECK</v>
      </c>
      <c r="D64" t="s">
        <v>87</v>
      </c>
      <c r="E64" t="str">
        <f t="shared" si="0"/>
        <v>TRUE</v>
      </c>
    </row>
    <row r="65" spans="1:5" x14ac:dyDescent="0.3">
      <c r="A65">
        <f>IF(Sheet1!A65="", "", Sheet1!A65)</f>
        <v>11604</v>
      </c>
      <c r="B65" t="str">
        <f>IF(Sheet1!U65="", "", IF(Sheet1!U65="HEAVY","SERIOUS","LIGHT"))</f>
        <v>SERIOUS</v>
      </c>
      <c r="C65" t="str">
        <f>IF(Sheet1!C65="","",Sheet1!C65)</f>
        <v>SE_INSP_STAGE_P1_VACUUM_OVERLAP</v>
      </c>
      <c r="D65" t="s">
        <v>87</v>
      </c>
      <c r="E65" t="str">
        <f t="shared" si="0"/>
        <v>TRUE</v>
      </c>
    </row>
    <row r="66" spans="1:5" x14ac:dyDescent="0.3">
      <c r="A66">
        <f>IF(Sheet1!A66="", "", Sheet1!A66)</f>
        <v>11605</v>
      </c>
      <c r="B66" t="str">
        <f>IF(Sheet1!U66="", "", IF(Sheet1!U66="HEAVY","SERIOUS","LIGHT"))</f>
        <v>SERIOUS</v>
      </c>
      <c r="C66" t="str">
        <f>IF(Sheet1!C66="","",Sheet1!C66)</f>
        <v>SE_INSP_STAGE_P1_SENSOR_OVERLAP</v>
      </c>
      <c r="D66" t="s">
        <v>87</v>
      </c>
      <c r="E66" t="str">
        <f t="shared" si="0"/>
        <v>TRUE</v>
      </c>
    </row>
    <row r="67" spans="1:5" x14ac:dyDescent="0.3">
      <c r="A67">
        <f>IF(Sheet1!A67="", "", Sheet1!A67)</f>
        <v>11610</v>
      </c>
      <c r="B67" t="str">
        <f>IF(Sheet1!U67="", "", IF(Sheet1!U67="HEAVY","SERIOUS","LIGHT"))</f>
        <v>SERIOUS</v>
      </c>
      <c r="C67" t="str">
        <f>IF(Sheet1!C67="","",Sheet1!C67)</f>
        <v>VC_INSP_STAGE_P2_VACUUM</v>
      </c>
      <c r="D67" t="s">
        <v>87</v>
      </c>
      <c r="E67" t="str">
        <f t="shared" ref="E67:E130" si="1">IF(A67="","","TRUE")</f>
        <v>TRUE</v>
      </c>
    </row>
    <row r="68" spans="1:5" x14ac:dyDescent="0.3">
      <c r="A68">
        <f>IF(Sheet1!A68="", "", Sheet1!A68)</f>
        <v>11611</v>
      </c>
      <c r="B68" t="str">
        <f>IF(Sheet1!U68="", "", IF(Sheet1!U68="HEAVY","SERIOUS","LIGHT"))</f>
        <v>SERIOUS</v>
      </c>
      <c r="C68" t="str">
        <f>IF(Sheet1!C68="","",Sheet1!C68)</f>
        <v>VC_INSP_STAGE_P2_BLOW</v>
      </c>
      <c r="D68" t="s">
        <v>87</v>
      </c>
      <c r="E68" t="str">
        <f t="shared" si="1"/>
        <v>TRUE</v>
      </c>
    </row>
    <row r="69" spans="1:5" x14ac:dyDescent="0.3">
      <c r="A69">
        <f>IF(Sheet1!A69="", "", Sheet1!A69)</f>
        <v>11612</v>
      </c>
      <c r="B69" t="str">
        <f>IF(Sheet1!U69="", "", IF(Sheet1!U69="HEAVY","SERIOUS","LIGHT"))</f>
        <v>SERIOUS</v>
      </c>
      <c r="C69" t="str">
        <f>IF(Sheet1!C69="","",Sheet1!C69)</f>
        <v>SE_INSP_STAGE_P2_VACUUM_CHECK</v>
      </c>
      <c r="D69" t="s">
        <v>87</v>
      </c>
      <c r="E69" t="str">
        <f t="shared" si="1"/>
        <v>TRUE</v>
      </c>
    </row>
    <row r="70" spans="1:5" x14ac:dyDescent="0.3">
      <c r="A70">
        <f>IF(Sheet1!A70="", "", Sheet1!A70)</f>
        <v>11613</v>
      </c>
      <c r="B70" t="str">
        <f>IF(Sheet1!U70="", "", IF(Sheet1!U70="HEAVY","SERIOUS","LIGHT"))</f>
        <v>SERIOUS</v>
      </c>
      <c r="C70" t="str">
        <f>IF(Sheet1!C70="","",Sheet1!C70)</f>
        <v>SE_INSP_STAGE_P2_SENSOR_CHECK</v>
      </c>
      <c r="D70" t="s">
        <v>87</v>
      </c>
      <c r="E70" t="str">
        <f t="shared" si="1"/>
        <v>TRUE</v>
      </c>
    </row>
    <row r="71" spans="1:5" x14ac:dyDescent="0.3">
      <c r="A71">
        <f>IF(Sheet1!A71="", "", Sheet1!A71)</f>
        <v>11614</v>
      </c>
      <c r="B71" t="str">
        <f>IF(Sheet1!U71="", "", IF(Sheet1!U71="HEAVY","SERIOUS","LIGHT"))</f>
        <v>SERIOUS</v>
      </c>
      <c r="C71" t="str">
        <f>IF(Sheet1!C71="","",Sheet1!C71)</f>
        <v>SE_INSP_STAGE_P2_VACUUM_OVERLAP</v>
      </c>
      <c r="D71" t="s">
        <v>87</v>
      </c>
      <c r="E71" t="str">
        <f t="shared" si="1"/>
        <v>TRUE</v>
      </c>
    </row>
    <row r="72" spans="1:5" x14ac:dyDescent="0.3">
      <c r="A72">
        <f>IF(Sheet1!A72="", "", Sheet1!A72)</f>
        <v>11615</v>
      </c>
      <c r="B72" t="str">
        <f>IF(Sheet1!U72="", "", IF(Sheet1!U72="HEAVY","SERIOUS","LIGHT"))</f>
        <v>SERIOUS</v>
      </c>
      <c r="C72" t="str">
        <f>IF(Sheet1!C72="","",Sheet1!C72)</f>
        <v>SE_INSP_STAGE_P2_SENSOR_OVERLAP</v>
      </c>
      <c r="D72" t="s">
        <v>87</v>
      </c>
      <c r="E72" t="str">
        <f t="shared" si="1"/>
        <v>TRUE</v>
      </c>
    </row>
    <row r="73" spans="1:5" x14ac:dyDescent="0.3">
      <c r="A73">
        <f>IF(Sheet1!A73="", "", Sheet1!A73)</f>
        <v>12000</v>
      </c>
      <c r="B73" t="str">
        <f>IF(Sheet1!U73="", "", IF(Sheet1!U73="HEAVY","SERIOUS","LIGHT"))</f>
        <v>SERIOUS</v>
      </c>
      <c r="C73" t="str">
        <f>IF(Sheet1!C73="","",Sheet1!C73)</f>
        <v>MO_TRANSFER_ROBOT_OUT_N_INITIALIZE</v>
      </c>
      <c r="D73" t="s">
        <v>87</v>
      </c>
      <c r="E73" t="str">
        <f t="shared" si="1"/>
        <v>TRUE</v>
      </c>
    </row>
    <row r="74" spans="1:5" x14ac:dyDescent="0.3">
      <c r="A74">
        <f>IF(Sheet1!A74="", "", Sheet1!A74)</f>
        <v>12001</v>
      </c>
      <c r="B74" t="str">
        <f>IF(Sheet1!U74="", "", IF(Sheet1!U74="HEAVY","SERIOUS","LIGHT"))</f>
        <v>SERIOUS</v>
      </c>
      <c r="C74" t="str">
        <f>IF(Sheet1!C74="","",Sheet1!C74)</f>
        <v>MO_TRANSFER_ROBOT_OUT_PROCESS_SKIP</v>
      </c>
      <c r="D74" t="s">
        <v>87</v>
      </c>
      <c r="E74" t="str">
        <f t="shared" si="1"/>
        <v>TRUE</v>
      </c>
    </row>
    <row r="75" spans="1:5" x14ac:dyDescent="0.3">
      <c r="A75">
        <f>IF(Sheet1!A75="", "", Sheet1!A75)</f>
        <v>12002</v>
      </c>
      <c r="B75" t="str">
        <f>IF(Sheet1!U75="", "", IF(Sheet1!U75="HEAVY","SERIOUS","LIGHT"))</f>
        <v>SERIOUS</v>
      </c>
      <c r="C75" t="str">
        <f>IF(Sheet1!C75="","",Sheet1!C75)</f>
        <v>MO_TRANSFER_ROBOT_OUT_ENTER_JCM_MODE</v>
      </c>
      <c r="D75" t="s">
        <v>87</v>
      </c>
      <c r="E75" t="str">
        <f t="shared" si="1"/>
        <v>TRUE</v>
      </c>
    </row>
    <row r="76" spans="1:5" x14ac:dyDescent="0.3">
      <c r="A76">
        <f>IF(Sheet1!A76="", "", Sheet1!A76)</f>
        <v>12003</v>
      </c>
      <c r="B76" t="str">
        <f>IF(Sheet1!U76="", "", IF(Sheet1!U76="HEAVY","SERIOUS","LIGHT"))</f>
        <v>SERIOUS</v>
      </c>
      <c r="C76" t="str">
        <f>IF(Sheet1!C76="","",Sheet1!C76)</f>
        <v>MO_TRANSFER_ROBOT_OUT_JCM_MODE_MOVE</v>
      </c>
      <c r="D76" t="s">
        <v>87</v>
      </c>
      <c r="E76" t="str">
        <f t="shared" si="1"/>
        <v>TRUE</v>
      </c>
    </row>
    <row r="77" spans="1:5" x14ac:dyDescent="0.3">
      <c r="A77">
        <f>IF(Sheet1!A77="", "", Sheet1!A77)</f>
        <v>12004</v>
      </c>
      <c r="B77" t="str">
        <f>IF(Sheet1!U77="", "", IF(Sheet1!U77="HEAVY","SERIOUS","LIGHT"))</f>
        <v>SERIOUS</v>
      </c>
      <c r="C77" t="str">
        <f>IF(Sheet1!C77="","",Sheet1!C77)</f>
        <v>MO_TRANSFER_ROBOT_OUT_EXIT_JCM_MODE</v>
      </c>
      <c r="D77" t="s">
        <v>87</v>
      </c>
      <c r="E77" t="str">
        <f t="shared" si="1"/>
        <v>TRUE</v>
      </c>
    </row>
    <row r="78" spans="1:5" x14ac:dyDescent="0.3">
      <c r="A78">
        <f>IF(Sheet1!A78="", "", Sheet1!A78)</f>
        <v>12005</v>
      </c>
      <c r="B78" t="str">
        <f>IF(Sheet1!U78="", "", IF(Sheet1!U78="HEAVY","SERIOUS","LIGHT"))</f>
        <v>SERIOUS</v>
      </c>
      <c r="C78" t="str">
        <f>IF(Sheet1!C78="","",Sheet1!C78)</f>
        <v>MO_TRANSFER_ROBOT_OUT_LOAD_BEGIN</v>
      </c>
      <c r="D78" t="s">
        <v>87</v>
      </c>
      <c r="E78" t="str">
        <f t="shared" si="1"/>
        <v>TRUE</v>
      </c>
    </row>
    <row r="79" spans="1:5" x14ac:dyDescent="0.3">
      <c r="A79">
        <f>IF(Sheet1!A79="", "", Sheet1!A79)</f>
        <v>12006</v>
      </c>
      <c r="B79" t="str">
        <f>IF(Sheet1!U79="", "", IF(Sheet1!U79="HEAVY","SERIOUS","LIGHT"))</f>
        <v>SERIOUS</v>
      </c>
      <c r="C79" t="str">
        <f>IF(Sheet1!C79="","",Sheet1!C79)</f>
        <v>MO_TRANSFER_ROBOT_OUT_LOAD_PERMIT</v>
      </c>
      <c r="D79" t="s">
        <v>87</v>
      </c>
      <c r="E79" t="str">
        <f t="shared" si="1"/>
        <v>TRUE</v>
      </c>
    </row>
    <row r="80" spans="1:5" x14ac:dyDescent="0.3">
      <c r="A80">
        <f>IF(Sheet1!A80="", "", Sheet1!A80)</f>
        <v>12007</v>
      </c>
      <c r="B80" t="str">
        <f>IF(Sheet1!U80="", "", IF(Sheet1!U80="HEAVY","SERIOUS","LIGHT"))</f>
        <v>SERIOUS</v>
      </c>
      <c r="C80" t="str">
        <f>IF(Sheet1!C80="","",Sheet1!C80)</f>
        <v>MO_TRANSFER_ROBOT_OUT_LOAD_EXIT</v>
      </c>
      <c r="D80" t="s">
        <v>87</v>
      </c>
      <c r="E80" t="str">
        <f t="shared" si="1"/>
        <v>TRUE</v>
      </c>
    </row>
    <row r="81" spans="1:5" x14ac:dyDescent="0.3">
      <c r="A81">
        <f>IF(Sheet1!A81="", "", Sheet1!A81)</f>
        <v>12008</v>
      </c>
      <c r="B81" t="str">
        <f>IF(Sheet1!U81="", "", IF(Sheet1!U81="HEAVY","SERIOUS","LIGHT"))</f>
        <v>SERIOUS</v>
      </c>
      <c r="C81" t="str">
        <f>IF(Sheet1!C81="","",Sheet1!C81)</f>
        <v>MO_TRANSFER_ROBOT_OUT_UNLOAD_BEGIN</v>
      </c>
      <c r="D81" t="s">
        <v>87</v>
      </c>
      <c r="E81" t="str">
        <f t="shared" si="1"/>
        <v>TRUE</v>
      </c>
    </row>
    <row r="82" spans="1:5" x14ac:dyDescent="0.3">
      <c r="A82">
        <f>IF(Sheet1!A82="", "", Sheet1!A82)</f>
        <v>12009</v>
      </c>
      <c r="B82" t="str">
        <f>IF(Sheet1!U82="", "", IF(Sheet1!U82="HEAVY","SERIOUS","LIGHT"))</f>
        <v>SERIOUS</v>
      </c>
      <c r="C82" t="str">
        <f>IF(Sheet1!C82="","",Sheet1!C82)</f>
        <v>MO_TRANSFER_ROBOT_OUT_UNLOAD_PERMIT</v>
      </c>
      <c r="D82" t="s">
        <v>87</v>
      </c>
      <c r="E82" t="str">
        <f t="shared" si="1"/>
        <v>TRUE</v>
      </c>
    </row>
    <row r="83" spans="1:5" x14ac:dyDescent="0.3">
      <c r="A83">
        <f>IF(Sheet1!A83="", "", Sheet1!A83)</f>
        <v>12010</v>
      </c>
      <c r="B83" t="str">
        <f>IF(Sheet1!U83="", "", IF(Sheet1!U83="HEAVY","SERIOUS","LIGHT"))</f>
        <v>SERIOUS</v>
      </c>
      <c r="C83" t="str">
        <f>IF(Sheet1!C83="","",Sheet1!C83)</f>
        <v>MO_TRANSFER_ROBOT_OUT_UNLOAD_EXIT</v>
      </c>
      <c r="D83" t="s">
        <v>87</v>
      </c>
      <c r="E83" t="str">
        <f t="shared" si="1"/>
        <v>TRUE</v>
      </c>
    </row>
    <row r="84" spans="1:5" x14ac:dyDescent="0.3">
      <c r="A84">
        <f>IF(Sheet1!A84="", "", Sheet1!A84)</f>
        <v>12100</v>
      </c>
      <c r="B84" t="str">
        <f>IF(Sheet1!U84="", "", IF(Sheet1!U84="HEAVY","SERIOUS","LIGHT"))</f>
        <v>SERIOUS</v>
      </c>
      <c r="C84" t="str">
        <f>IF(Sheet1!C84="","",Sheet1!C84)</f>
        <v>CY_TRANSFER_ROBOT_OUT_P1_T_TURN</v>
      </c>
      <c r="D84" t="s">
        <v>87</v>
      </c>
      <c r="E84" t="str">
        <f t="shared" si="1"/>
        <v>TRUE</v>
      </c>
    </row>
    <row r="85" spans="1:5" x14ac:dyDescent="0.3">
      <c r="A85">
        <f>IF(Sheet1!A85="", "", Sheet1!A85)</f>
        <v>12101</v>
      </c>
      <c r="B85" t="str">
        <f>IF(Sheet1!U85="", "", IF(Sheet1!U85="HEAVY","SERIOUS","LIGHT"))</f>
        <v>SERIOUS</v>
      </c>
      <c r="C85" t="str">
        <f>IF(Sheet1!C85="","",Sheet1!C85)</f>
        <v>CY_TRANSFER_ROBOT_OUT_P1_T_RETURN</v>
      </c>
      <c r="D85" t="s">
        <v>87</v>
      </c>
      <c r="E85" t="str">
        <f t="shared" si="1"/>
        <v>TRUE</v>
      </c>
    </row>
    <row r="86" spans="1:5" x14ac:dyDescent="0.3">
      <c r="A86">
        <f>IF(Sheet1!A86="", "", Sheet1!A86)</f>
        <v>12110</v>
      </c>
      <c r="B86" t="str">
        <f>IF(Sheet1!U86="", "", IF(Sheet1!U86="HEAVY","SERIOUS","LIGHT"))</f>
        <v>SERIOUS</v>
      </c>
      <c r="C86" t="str">
        <f>IF(Sheet1!C86="","",Sheet1!C86)</f>
        <v>CY_TRANSFER_ROBOT_OUT_P2_T_TURN</v>
      </c>
      <c r="D86" t="s">
        <v>87</v>
      </c>
      <c r="E86" t="str">
        <f t="shared" si="1"/>
        <v>TRUE</v>
      </c>
    </row>
    <row r="87" spans="1:5" x14ac:dyDescent="0.3">
      <c r="A87">
        <f>IF(Sheet1!A87="", "", Sheet1!A87)</f>
        <v>12111</v>
      </c>
      <c r="B87" t="str">
        <f>IF(Sheet1!U87="", "", IF(Sheet1!U87="HEAVY","SERIOUS","LIGHT"))</f>
        <v>SERIOUS</v>
      </c>
      <c r="C87" t="str">
        <f>IF(Sheet1!C87="","",Sheet1!C87)</f>
        <v>CY_TRANSFER_ROBOT_OUT_P2_T_RETURN</v>
      </c>
      <c r="D87" t="s">
        <v>87</v>
      </c>
      <c r="E87" t="str">
        <f t="shared" si="1"/>
        <v>TRUE</v>
      </c>
    </row>
    <row r="88" spans="1:5" x14ac:dyDescent="0.3">
      <c r="A88">
        <f>IF(Sheet1!A88="", "", Sheet1!A88)</f>
        <v>12120</v>
      </c>
      <c r="B88" t="str">
        <f>IF(Sheet1!U88="", "", IF(Sheet1!U88="HEAVY","SERIOUS","LIGHT"))</f>
        <v>SERIOUS</v>
      </c>
      <c r="C88" t="str">
        <f>IF(Sheet1!C88="","",Sheet1!C88)</f>
        <v>VC_TRANSFER_ROBOT_OUT_P1_VACUUM</v>
      </c>
      <c r="D88" t="s">
        <v>87</v>
      </c>
      <c r="E88" t="str">
        <f t="shared" si="1"/>
        <v>TRUE</v>
      </c>
    </row>
    <row r="89" spans="1:5" x14ac:dyDescent="0.3">
      <c r="A89">
        <f>IF(Sheet1!A89="", "", Sheet1!A89)</f>
        <v>12121</v>
      </c>
      <c r="B89" t="str">
        <f>IF(Sheet1!U89="", "", IF(Sheet1!U89="HEAVY","SERIOUS","LIGHT"))</f>
        <v>SERIOUS</v>
      </c>
      <c r="C89" t="str">
        <f>IF(Sheet1!C89="","",Sheet1!C89)</f>
        <v>VC_TRANSFER_ROBOT_OUT_P1_BLOW</v>
      </c>
      <c r="D89" t="s">
        <v>87</v>
      </c>
      <c r="E89" t="str">
        <f t="shared" si="1"/>
        <v>TRUE</v>
      </c>
    </row>
    <row r="90" spans="1:5" x14ac:dyDescent="0.3">
      <c r="A90">
        <f>IF(Sheet1!A90="", "", Sheet1!A90)</f>
        <v>12122</v>
      </c>
      <c r="B90" t="str">
        <f>IF(Sheet1!U90="", "", IF(Sheet1!U90="HEAVY","SERIOUS","LIGHT"))</f>
        <v>SERIOUS</v>
      </c>
      <c r="C90" t="str">
        <f>IF(Sheet1!C90="","",Sheet1!C90)</f>
        <v>SE_TRANSFER_ROBOT_OUT_P1_VACUUM_CHECK</v>
      </c>
      <c r="D90" t="s">
        <v>87</v>
      </c>
      <c r="E90" t="str">
        <f t="shared" si="1"/>
        <v>TRUE</v>
      </c>
    </row>
    <row r="91" spans="1:5" x14ac:dyDescent="0.3">
      <c r="A91">
        <f>IF(Sheet1!A91="", "", Sheet1!A91)</f>
        <v>12123</v>
      </c>
      <c r="B91" t="str">
        <f>IF(Sheet1!U91="", "", IF(Sheet1!U91="HEAVY","SERIOUS","LIGHT"))</f>
        <v>SERIOUS</v>
      </c>
      <c r="C91" t="str">
        <f>IF(Sheet1!C91="","",Sheet1!C91)</f>
        <v>SE_TRANSFER_ROBOT_OUT_P1_SENSOR_CHECK</v>
      </c>
      <c r="D91" t="s">
        <v>87</v>
      </c>
      <c r="E91" t="str">
        <f t="shared" si="1"/>
        <v>TRUE</v>
      </c>
    </row>
    <row r="92" spans="1:5" x14ac:dyDescent="0.3">
      <c r="A92">
        <f>IF(Sheet1!A92="", "", Sheet1!A92)</f>
        <v>12124</v>
      </c>
      <c r="B92" t="str">
        <f>IF(Sheet1!U92="", "", IF(Sheet1!U92="HEAVY","SERIOUS","LIGHT"))</f>
        <v>SERIOUS</v>
      </c>
      <c r="C92" t="str">
        <f>IF(Sheet1!C92="","",Sheet1!C92)</f>
        <v>SE_TRANSFER_ROBOT_OUT_P1_VACUUM_OVERLAP</v>
      </c>
      <c r="D92" t="s">
        <v>87</v>
      </c>
      <c r="E92" t="str">
        <f t="shared" si="1"/>
        <v>TRUE</v>
      </c>
    </row>
    <row r="93" spans="1:5" x14ac:dyDescent="0.3">
      <c r="A93">
        <f>IF(Sheet1!A93="", "", Sheet1!A93)</f>
        <v>12125</v>
      </c>
      <c r="B93" t="str">
        <f>IF(Sheet1!U93="", "", IF(Sheet1!U93="HEAVY","SERIOUS","LIGHT"))</f>
        <v>SERIOUS</v>
      </c>
      <c r="C93" t="str">
        <f>IF(Sheet1!C93="","",Sheet1!C93)</f>
        <v>SE_TRANSFER_ROBOT_OUT_P1_SENSOR_OVERLAP</v>
      </c>
      <c r="D93" t="s">
        <v>87</v>
      </c>
      <c r="E93" t="str">
        <f t="shared" si="1"/>
        <v>TRUE</v>
      </c>
    </row>
    <row r="94" spans="1:5" x14ac:dyDescent="0.3">
      <c r="A94">
        <f>IF(Sheet1!A94="", "", Sheet1!A94)</f>
        <v>12130</v>
      </c>
      <c r="B94" t="str">
        <f>IF(Sheet1!U94="", "", IF(Sheet1!U94="HEAVY","SERIOUS","LIGHT"))</f>
        <v>SERIOUS</v>
      </c>
      <c r="C94" t="str">
        <f>IF(Sheet1!C94="","",Sheet1!C94)</f>
        <v>VC_TRANSFER_ROBOT_OUT_P2_VACUUM</v>
      </c>
      <c r="D94" t="s">
        <v>87</v>
      </c>
      <c r="E94" t="str">
        <f t="shared" si="1"/>
        <v>TRUE</v>
      </c>
    </row>
    <row r="95" spans="1:5" x14ac:dyDescent="0.3">
      <c r="A95">
        <f>IF(Sheet1!A95="", "", Sheet1!A95)</f>
        <v>12131</v>
      </c>
      <c r="B95" t="str">
        <f>IF(Sheet1!U95="", "", IF(Sheet1!U95="HEAVY","SERIOUS","LIGHT"))</f>
        <v>SERIOUS</v>
      </c>
      <c r="C95" t="str">
        <f>IF(Sheet1!C95="","",Sheet1!C95)</f>
        <v>VC_TRANSFER_ROBOT_OUT_P2_BLOW</v>
      </c>
      <c r="D95" t="s">
        <v>87</v>
      </c>
      <c r="E95" t="str">
        <f t="shared" si="1"/>
        <v>TRUE</v>
      </c>
    </row>
    <row r="96" spans="1:5" x14ac:dyDescent="0.3">
      <c r="A96">
        <f>IF(Sheet1!A96="", "", Sheet1!A96)</f>
        <v>12132</v>
      </c>
      <c r="B96" t="str">
        <f>IF(Sheet1!U96="", "", IF(Sheet1!U96="HEAVY","SERIOUS","LIGHT"))</f>
        <v>SERIOUS</v>
      </c>
      <c r="C96" t="str">
        <f>IF(Sheet1!C96="","",Sheet1!C96)</f>
        <v>SE_TRANSFER_ROBOT_OUT_P2_VACUUM_CHECK</v>
      </c>
      <c r="D96" t="s">
        <v>87</v>
      </c>
      <c r="E96" t="str">
        <f t="shared" si="1"/>
        <v>TRUE</v>
      </c>
    </row>
    <row r="97" spans="1:5" x14ac:dyDescent="0.3">
      <c r="A97">
        <f>IF(Sheet1!A97="", "", Sheet1!A97)</f>
        <v>12133</v>
      </c>
      <c r="B97" t="str">
        <f>IF(Sheet1!U97="", "", IF(Sheet1!U97="HEAVY","SERIOUS","LIGHT"))</f>
        <v>SERIOUS</v>
      </c>
      <c r="C97" t="str">
        <f>IF(Sheet1!C97="","",Sheet1!C97)</f>
        <v>SE_TRANSFER_ROBOT_OUT_P2_SENSOR_CHECK</v>
      </c>
      <c r="D97" t="s">
        <v>87</v>
      </c>
      <c r="E97" t="str">
        <f t="shared" si="1"/>
        <v>TRUE</v>
      </c>
    </row>
    <row r="98" spans="1:5" x14ac:dyDescent="0.3">
      <c r="A98">
        <f>IF(Sheet1!A98="", "", Sheet1!A98)</f>
        <v>12134</v>
      </c>
      <c r="B98" t="str">
        <f>IF(Sheet1!U98="", "", IF(Sheet1!U98="HEAVY","SERIOUS","LIGHT"))</f>
        <v>SERIOUS</v>
      </c>
      <c r="C98" t="str">
        <f>IF(Sheet1!C98="","",Sheet1!C98)</f>
        <v>SE_TRANSFER_ROBOT_OUT_P2_VACUUM_OVERLAP</v>
      </c>
      <c r="D98" t="s">
        <v>87</v>
      </c>
      <c r="E98" t="str">
        <f t="shared" si="1"/>
        <v>TRUE</v>
      </c>
    </row>
    <row r="99" spans="1:5" x14ac:dyDescent="0.3">
      <c r="A99">
        <f>IF(Sheet1!A99="", "", Sheet1!A99)</f>
        <v>12135</v>
      </c>
      <c r="B99" t="str">
        <f>IF(Sheet1!U99="", "", IF(Sheet1!U99="HEAVY","SERIOUS","LIGHT"))</f>
        <v>SERIOUS</v>
      </c>
      <c r="C99" t="str">
        <f>IF(Sheet1!C99="","",Sheet1!C99)</f>
        <v>SE_TRANSFER_ROBOT_OUT_P2_SENSOR_OVERLAP</v>
      </c>
      <c r="D99" t="s">
        <v>87</v>
      </c>
      <c r="E99" t="str">
        <f t="shared" si="1"/>
        <v>TRUE</v>
      </c>
    </row>
    <row r="100" spans="1:5" x14ac:dyDescent="0.3">
      <c r="A100">
        <f>IF(Sheet1!A100="", "", Sheet1!A100)</f>
        <v>12400</v>
      </c>
      <c r="B100" t="str">
        <f>IF(Sheet1!U100="", "", IF(Sheet1!U100="HEAVY","SERIOUS","LIGHT"))</f>
        <v>SERIOUS</v>
      </c>
      <c r="C100" t="str">
        <f>IF(Sheet1!C100="","",Sheet1!C100)</f>
        <v>CO_TRANSFER_ROBOT_OUT_ALIGN_DATA</v>
      </c>
      <c r="D100" t="s">
        <v>87</v>
      </c>
      <c r="E100" t="str">
        <f t="shared" si="1"/>
        <v>TRUE</v>
      </c>
    </row>
    <row r="101" spans="1:5" x14ac:dyDescent="0.3">
      <c r="A101">
        <f>IF(Sheet1!A101="", "", Sheet1!A101)</f>
        <v>12401</v>
      </c>
      <c r="B101" t="str">
        <f>IF(Sheet1!U101="", "", IF(Sheet1!U101="HEAVY","SERIOUS","LIGHT"))</f>
        <v>SERIOUS</v>
      </c>
      <c r="C101" t="str">
        <f>IF(Sheet1!C101="","",Sheet1!C101)</f>
        <v>CO_TRANSFER_ROBOT_OUT_RESET_DATA</v>
      </c>
      <c r="D101" t="s">
        <v>87</v>
      </c>
      <c r="E101" t="str">
        <f t="shared" si="1"/>
        <v>TRUE</v>
      </c>
    </row>
    <row r="102" spans="1:5" x14ac:dyDescent="0.3">
      <c r="A102">
        <f>IF(Sheet1!A102="", "", Sheet1!A102)</f>
        <v>12402</v>
      </c>
      <c r="B102" t="str">
        <f>IF(Sheet1!U102="", "", IF(Sheet1!U102="HEAVY","SERIOUS","LIGHT"))</f>
        <v>SERIOUS</v>
      </c>
      <c r="C102" t="str">
        <f>IF(Sheet1!C102="","",Sheet1!C102)</f>
        <v>CO_TRANSFER_ROBOT_OUT_CALIBRATION_DATA</v>
      </c>
      <c r="D102" t="s">
        <v>87</v>
      </c>
      <c r="E102" t="str">
        <f t="shared" si="1"/>
        <v>TRUE</v>
      </c>
    </row>
    <row r="103" spans="1:5" x14ac:dyDescent="0.3">
      <c r="A103">
        <f>IF(Sheet1!A103="", "", Sheet1!A103)</f>
        <v>13000</v>
      </c>
      <c r="B103" t="str">
        <f>IF(Sheet1!U103="", "", IF(Sheet1!U103="HEAVY","SERIOUS","LIGHT"))</f>
        <v>SERIOUS</v>
      </c>
      <c r="C103" t="str">
        <f>IF(Sheet1!C103="","",Sheet1!C103)</f>
        <v>MO_OUT_FLIP_R1_HOME_MOTION</v>
      </c>
      <c r="D103" t="s">
        <v>87</v>
      </c>
      <c r="E103" t="str">
        <f t="shared" si="1"/>
        <v>TRUE</v>
      </c>
    </row>
    <row r="104" spans="1:5" x14ac:dyDescent="0.3">
      <c r="A104">
        <f>IF(Sheet1!A104="", "", Sheet1!A104)</f>
        <v>13001</v>
      </c>
      <c r="B104" t="str">
        <f>IF(Sheet1!U104="", "", IF(Sheet1!U104="HEAVY","SERIOUS","LIGHT"))</f>
        <v>SERIOUS</v>
      </c>
      <c r="C104" t="str">
        <f>IF(Sheet1!C104="","",Sheet1!C104)</f>
        <v>MO_OUT_FLIP_R1_LOAD_MOVE</v>
      </c>
      <c r="D104" t="s">
        <v>87</v>
      </c>
      <c r="E104" t="str">
        <f t="shared" si="1"/>
        <v>TRUE</v>
      </c>
    </row>
    <row r="105" spans="1:5" x14ac:dyDescent="0.3">
      <c r="A105">
        <f>IF(Sheet1!A105="", "", Sheet1!A105)</f>
        <v>13002</v>
      </c>
      <c r="B105" t="str">
        <f>IF(Sheet1!U105="", "", IF(Sheet1!U105="HEAVY","SERIOUS","LIGHT"))</f>
        <v>SERIOUS</v>
      </c>
      <c r="C105" t="str">
        <f>IF(Sheet1!C105="","",Sheet1!C105)</f>
        <v>MO_OUT_FLIP_R1_UNLOAD_MOVE</v>
      </c>
      <c r="D105" t="s">
        <v>87</v>
      </c>
      <c r="E105" t="str">
        <f t="shared" si="1"/>
        <v>TRUE</v>
      </c>
    </row>
    <row r="106" spans="1:5" x14ac:dyDescent="0.3">
      <c r="A106">
        <f>IF(Sheet1!A106="", "", Sheet1!A106)</f>
        <v>13010</v>
      </c>
      <c r="B106" t="str">
        <f>IF(Sheet1!U106="", "", IF(Sheet1!U106="HEAVY","SERIOUS","LIGHT"))</f>
        <v>SERIOUS</v>
      </c>
      <c r="C106" t="str">
        <f>IF(Sheet1!C106="","",Sheet1!C106)</f>
        <v>MO_OUT_FLIP_R2_HOME_MOTION</v>
      </c>
      <c r="D106" t="s">
        <v>87</v>
      </c>
      <c r="E106" t="str">
        <f t="shared" si="1"/>
        <v>TRUE</v>
      </c>
    </row>
    <row r="107" spans="1:5" x14ac:dyDescent="0.3">
      <c r="A107">
        <f>IF(Sheet1!A107="", "", Sheet1!A107)</f>
        <v>13011</v>
      </c>
      <c r="B107" t="str">
        <f>IF(Sheet1!U107="", "", IF(Sheet1!U107="HEAVY","SERIOUS","LIGHT"))</f>
        <v>SERIOUS</v>
      </c>
      <c r="C107" t="str">
        <f>IF(Sheet1!C107="","",Sheet1!C107)</f>
        <v>MO_OUT_FLIP_R2_LOAD_MOVE</v>
      </c>
      <c r="D107" t="s">
        <v>87</v>
      </c>
      <c r="E107" t="str">
        <f t="shared" si="1"/>
        <v>TRUE</v>
      </c>
    </row>
    <row r="108" spans="1:5" x14ac:dyDescent="0.3">
      <c r="A108">
        <f>IF(Sheet1!A108="", "", Sheet1!A108)</f>
        <v>13012</v>
      </c>
      <c r="B108" t="str">
        <f>IF(Sheet1!U108="", "", IF(Sheet1!U108="HEAVY","SERIOUS","LIGHT"))</f>
        <v>SERIOUS</v>
      </c>
      <c r="C108" t="str">
        <f>IF(Sheet1!C108="","",Sheet1!C108)</f>
        <v>MO_OUT_FLIP_R2_UNLOAD_MOVE</v>
      </c>
      <c r="D108" t="s">
        <v>87</v>
      </c>
      <c r="E108" t="str">
        <f t="shared" si="1"/>
        <v>TRUE</v>
      </c>
    </row>
    <row r="109" spans="1:5" x14ac:dyDescent="0.3">
      <c r="A109">
        <f>IF(Sheet1!A109="", "", Sheet1!A109)</f>
        <v>13020</v>
      </c>
      <c r="B109" t="str">
        <f>IF(Sheet1!U109="", "", IF(Sheet1!U109="HEAVY","SERIOUS","LIGHT"))</f>
        <v>SERIOUS</v>
      </c>
      <c r="C109" t="str">
        <f>IF(Sheet1!C109="","",Sheet1!C109)</f>
        <v>MO_OUT_FLIP_Z_HOME_MOTION</v>
      </c>
      <c r="D109" t="s">
        <v>87</v>
      </c>
      <c r="E109" t="str">
        <f t="shared" si="1"/>
        <v>TRUE</v>
      </c>
    </row>
    <row r="110" spans="1:5" x14ac:dyDescent="0.3">
      <c r="A110">
        <f>IF(Sheet1!A110="", "", Sheet1!A110)</f>
        <v>13021</v>
      </c>
      <c r="B110" t="str">
        <f>IF(Sheet1!U110="", "", IF(Sheet1!U110="HEAVY","SERIOUS","LIGHT"))</f>
        <v>SERIOUS</v>
      </c>
      <c r="C110" t="str">
        <f>IF(Sheet1!C110="","",Sheet1!C110)</f>
        <v>MO_OUT_FLIP_Z_UP_MOVE</v>
      </c>
      <c r="D110" t="s">
        <v>87</v>
      </c>
      <c r="E110" t="str">
        <f t="shared" si="1"/>
        <v>TRUE</v>
      </c>
    </row>
    <row r="111" spans="1:5" x14ac:dyDescent="0.3">
      <c r="A111">
        <f>IF(Sheet1!A111="", "", Sheet1!A111)</f>
        <v>13022</v>
      </c>
      <c r="B111" t="str">
        <f>IF(Sheet1!U111="", "", IF(Sheet1!U111="HEAVY","SERIOUS","LIGHT"))</f>
        <v>SERIOUS</v>
      </c>
      <c r="C111" t="str">
        <f>IF(Sheet1!C111="","",Sheet1!C111)</f>
        <v>MO_OUT_FLIP_Z_DOWN_MOVE</v>
      </c>
      <c r="D111" t="s">
        <v>87</v>
      </c>
      <c r="E111" t="str">
        <f t="shared" si="1"/>
        <v>TRUE</v>
      </c>
    </row>
    <row r="112" spans="1:5" x14ac:dyDescent="0.3">
      <c r="A112">
        <f>IF(Sheet1!A112="", "", Sheet1!A112)</f>
        <v>13100</v>
      </c>
      <c r="B112" t="str">
        <f>IF(Sheet1!U112="", "", IF(Sheet1!U112="HEAVY","SERIOUS","LIGHT"))</f>
        <v>SERIOUS</v>
      </c>
      <c r="C112" t="str">
        <f>IF(Sheet1!C112="","",Sheet1!C112)</f>
        <v>VC_OUT_FLIP_P1_VACUUM</v>
      </c>
      <c r="D112" t="s">
        <v>87</v>
      </c>
      <c r="E112" t="str">
        <f t="shared" si="1"/>
        <v>TRUE</v>
      </c>
    </row>
    <row r="113" spans="1:5" x14ac:dyDescent="0.3">
      <c r="A113">
        <f>IF(Sheet1!A113="", "", Sheet1!A113)</f>
        <v>13101</v>
      </c>
      <c r="B113" t="str">
        <f>IF(Sheet1!U113="", "", IF(Sheet1!U113="HEAVY","SERIOUS","LIGHT"))</f>
        <v>SERIOUS</v>
      </c>
      <c r="C113" t="str">
        <f>IF(Sheet1!C113="","",Sheet1!C113)</f>
        <v>VC_OUT_FLIP_P1_BLOW</v>
      </c>
      <c r="D113" t="s">
        <v>87</v>
      </c>
      <c r="E113" t="str">
        <f t="shared" si="1"/>
        <v>TRUE</v>
      </c>
    </row>
    <row r="114" spans="1:5" x14ac:dyDescent="0.3">
      <c r="A114">
        <f>IF(Sheet1!A114="", "", Sheet1!A114)</f>
        <v>13102</v>
      </c>
      <c r="B114" t="str">
        <f>IF(Sheet1!U114="", "", IF(Sheet1!U114="HEAVY","SERIOUS","LIGHT"))</f>
        <v>SERIOUS</v>
      </c>
      <c r="C114" t="str">
        <f>IF(Sheet1!C114="","",Sheet1!C114)</f>
        <v>SE_OUT_FLIP_P1_VACUUM_CHECK</v>
      </c>
      <c r="D114" t="s">
        <v>87</v>
      </c>
      <c r="E114" t="str">
        <f t="shared" si="1"/>
        <v>TRUE</v>
      </c>
    </row>
    <row r="115" spans="1:5" x14ac:dyDescent="0.3">
      <c r="A115">
        <f>IF(Sheet1!A115="", "", Sheet1!A115)</f>
        <v>13103</v>
      </c>
      <c r="B115" t="str">
        <f>IF(Sheet1!U115="", "", IF(Sheet1!U115="HEAVY","SERIOUS","LIGHT"))</f>
        <v>SERIOUS</v>
      </c>
      <c r="C115" t="str">
        <f>IF(Sheet1!C115="","",Sheet1!C115)</f>
        <v>SE_OUT_FLIP_P1_SENSOR_CHECK</v>
      </c>
      <c r="D115" t="s">
        <v>87</v>
      </c>
      <c r="E115" t="str">
        <f t="shared" si="1"/>
        <v>TRUE</v>
      </c>
    </row>
    <row r="116" spans="1:5" x14ac:dyDescent="0.3">
      <c r="A116">
        <f>IF(Sheet1!A116="", "", Sheet1!A116)</f>
        <v>13104</v>
      </c>
      <c r="B116" t="str">
        <f>IF(Sheet1!U116="", "", IF(Sheet1!U116="HEAVY","SERIOUS","LIGHT"))</f>
        <v>SERIOUS</v>
      </c>
      <c r="C116" t="str">
        <f>IF(Sheet1!C116="","",Sheet1!C116)</f>
        <v>SE_OUT_FLIP_P1_VACUUM_OVERLAP</v>
      </c>
      <c r="D116" t="s">
        <v>87</v>
      </c>
      <c r="E116" t="str">
        <f t="shared" si="1"/>
        <v>TRUE</v>
      </c>
    </row>
    <row r="117" spans="1:5" x14ac:dyDescent="0.3">
      <c r="A117">
        <f>IF(Sheet1!A117="", "", Sheet1!A117)</f>
        <v>13105</v>
      </c>
      <c r="B117" t="str">
        <f>IF(Sheet1!U117="", "", IF(Sheet1!U117="HEAVY","SERIOUS","LIGHT"))</f>
        <v>SERIOUS</v>
      </c>
      <c r="C117" t="str">
        <f>IF(Sheet1!C117="","",Sheet1!C117)</f>
        <v>SE_OUT_FLIP_P1_SENSOR_OVERLAP</v>
      </c>
      <c r="D117" t="s">
        <v>87</v>
      </c>
      <c r="E117" t="str">
        <f t="shared" si="1"/>
        <v>TRUE</v>
      </c>
    </row>
    <row r="118" spans="1:5" x14ac:dyDescent="0.3">
      <c r="A118">
        <f>IF(Sheet1!A118="", "", Sheet1!A118)</f>
        <v>13110</v>
      </c>
      <c r="B118" t="str">
        <f>IF(Sheet1!U118="", "", IF(Sheet1!U118="HEAVY","SERIOUS","LIGHT"))</f>
        <v>SERIOUS</v>
      </c>
      <c r="C118" t="str">
        <f>IF(Sheet1!C118="","",Sheet1!C118)</f>
        <v>VC_OUT_FLIP_P2_VACUUM</v>
      </c>
      <c r="D118" t="s">
        <v>87</v>
      </c>
      <c r="E118" t="str">
        <f t="shared" si="1"/>
        <v>TRUE</v>
      </c>
    </row>
    <row r="119" spans="1:5" x14ac:dyDescent="0.3">
      <c r="A119">
        <f>IF(Sheet1!A119="", "", Sheet1!A119)</f>
        <v>13111</v>
      </c>
      <c r="B119" t="str">
        <f>IF(Sheet1!U119="", "", IF(Sheet1!U119="HEAVY","SERIOUS","LIGHT"))</f>
        <v>SERIOUS</v>
      </c>
      <c r="C119" t="str">
        <f>IF(Sheet1!C119="","",Sheet1!C119)</f>
        <v>VC_OUT_FLIP_P2_BLOW</v>
      </c>
      <c r="D119" t="s">
        <v>87</v>
      </c>
      <c r="E119" t="str">
        <f t="shared" si="1"/>
        <v>TRUE</v>
      </c>
    </row>
    <row r="120" spans="1:5" x14ac:dyDescent="0.3">
      <c r="A120">
        <f>IF(Sheet1!A120="", "", Sheet1!A120)</f>
        <v>13112</v>
      </c>
      <c r="B120" t="str">
        <f>IF(Sheet1!U120="", "", IF(Sheet1!U120="HEAVY","SERIOUS","LIGHT"))</f>
        <v>SERIOUS</v>
      </c>
      <c r="C120" t="str">
        <f>IF(Sheet1!C120="","",Sheet1!C120)</f>
        <v>SE_OUT_FLIP_P2_VACUUM_CHECK</v>
      </c>
      <c r="D120" t="s">
        <v>87</v>
      </c>
      <c r="E120" t="str">
        <f t="shared" si="1"/>
        <v>TRUE</v>
      </c>
    </row>
    <row r="121" spans="1:5" x14ac:dyDescent="0.3">
      <c r="A121">
        <f>IF(Sheet1!A121="", "", Sheet1!A121)</f>
        <v>13113</v>
      </c>
      <c r="B121" t="str">
        <f>IF(Sheet1!U121="", "", IF(Sheet1!U121="HEAVY","SERIOUS","LIGHT"))</f>
        <v>SERIOUS</v>
      </c>
      <c r="C121" t="str">
        <f>IF(Sheet1!C121="","",Sheet1!C121)</f>
        <v>SE_OUT_FLIP_P2_SENSOR_CHECK</v>
      </c>
      <c r="D121" t="s">
        <v>87</v>
      </c>
      <c r="E121" t="str">
        <f t="shared" si="1"/>
        <v>TRUE</v>
      </c>
    </row>
    <row r="122" spans="1:5" x14ac:dyDescent="0.3">
      <c r="A122">
        <f>IF(Sheet1!A122="", "", Sheet1!A122)</f>
        <v>13114</v>
      </c>
      <c r="B122" t="str">
        <f>IF(Sheet1!U122="", "", IF(Sheet1!U122="HEAVY","SERIOUS","LIGHT"))</f>
        <v>SERIOUS</v>
      </c>
      <c r="C122" t="str">
        <f>IF(Sheet1!C122="","",Sheet1!C122)</f>
        <v>SE_OUT_FLIP_P2_VACUUM_OVERLAP</v>
      </c>
      <c r="D122" t="s">
        <v>87</v>
      </c>
      <c r="E122" t="str">
        <f t="shared" si="1"/>
        <v>TRUE</v>
      </c>
    </row>
    <row r="123" spans="1:5" x14ac:dyDescent="0.3">
      <c r="A123">
        <f>IF(Sheet1!A123="", "", Sheet1!A123)</f>
        <v>13115</v>
      </c>
      <c r="B123" t="str">
        <f>IF(Sheet1!U123="", "", IF(Sheet1!U123="HEAVY","SERIOUS","LIGHT"))</f>
        <v>SERIOUS</v>
      </c>
      <c r="C123" t="str">
        <f>IF(Sheet1!C123="","",Sheet1!C123)</f>
        <v>SE_OUT_FLIP_P2_SENSOR_OVERLAP</v>
      </c>
      <c r="D123" t="s">
        <v>87</v>
      </c>
      <c r="E123" t="str">
        <f t="shared" si="1"/>
        <v>TRUE</v>
      </c>
    </row>
    <row r="124" spans="1:5" x14ac:dyDescent="0.3">
      <c r="A124">
        <f>IF(Sheet1!A124="", "", Sheet1!A124)</f>
        <v>13500</v>
      </c>
      <c r="B124" t="str">
        <f>IF(Sheet1!U124="", "", IF(Sheet1!U124="HEAVY","SERIOUS","LIGHT"))</f>
        <v>SERIOUS</v>
      </c>
      <c r="C124" t="str">
        <f>IF(Sheet1!C124="","",Sheet1!C124)</f>
        <v>MO_UNLOADER_CONVEYOR_X2_HOME_MOTION</v>
      </c>
      <c r="D124" t="s">
        <v>87</v>
      </c>
      <c r="E124" t="str">
        <f t="shared" si="1"/>
        <v>TRUE</v>
      </c>
    </row>
    <row r="125" spans="1:5" x14ac:dyDescent="0.3">
      <c r="A125">
        <f>IF(Sheet1!A125="", "", Sheet1!A125)</f>
        <v>13501</v>
      </c>
      <c r="B125" t="str">
        <f>IF(Sheet1!U125="", "", IF(Sheet1!U125="HEAVY","SERIOUS","LIGHT"))</f>
        <v>SERIOUS</v>
      </c>
      <c r="C125" t="str">
        <f>IF(Sheet1!C125="","",Sheet1!C125)</f>
        <v>MO_UNLOADER_CONVEYOR_X2_POSITION_RESET</v>
      </c>
      <c r="D125" t="s">
        <v>87</v>
      </c>
      <c r="E125" t="str">
        <f t="shared" si="1"/>
        <v>TRUE</v>
      </c>
    </row>
    <row r="126" spans="1:5" x14ac:dyDescent="0.3">
      <c r="A126">
        <f>IF(Sheet1!A126="", "", Sheet1!A126)</f>
        <v>13502</v>
      </c>
      <c r="B126" t="str">
        <f>IF(Sheet1!U126="", "", IF(Sheet1!U126="HEAVY","SERIOUS","LIGHT"))</f>
        <v>SERIOUS</v>
      </c>
      <c r="C126" t="str">
        <f>IF(Sheet1!C126="","",Sheet1!C126)</f>
        <v>MO_UNLOADER_CONVEYOR_X2_UNLOAD_MOVE</v>
      </c>
      <c r="D126" t="s">
        <v>87</v>
      </c>
      <c r="E126" t="str">
        <f t="shared" si="1"/>
        <v>TRUE</v>
      </c>
    </row>
    <row r="127" spans="1:5" x14ac:dyDescent="0.3">
      <c r="A127">
        <f>IF(Sheet1!A127="", "", Sheet1!A127)</f>
        <v>13503</v>
      </c>
      <c r="B127" t="str">
        <f>IF(Sheet1!U127="", "", IF(Sheet1!U127="HEAVY","SERIOUS","LIGHT"))</f>
        <v>SERIOUS</v>
      </c>
      <c r="C127" t="str">
        <f>IF(Sheet1!C127="","",Sheet1!C127)</f>
        <v>SE_UNLOADER_CONVEYOR_N_CELL_EXIST_CHECK</v>
      </c>
      <c r="D127" t="s">
        <v>87</v>
      </c>
      <c r="E127" t="str">
        <f t="shared" si="1"/>
        <v>TRUE</v>
      </c>
    </row>
    <row r="128" spans="1:5" x14ac:dyDescent="0.3">
      <c r="A128">
        <f>IF(Sheet1!A128="", "", Sheet1!A128)</f>
        <v>13504</v>
      </c>
      <c r="B128" t="str">
        <f>IF(Sheet1!U128="", "", IF(Sheet1!U128="HEAVY","SERIOUS","LIGHT"))</f>
        <v>SERIOUS</v>
      </c>
      <c r="C128" t="str">
        <f>IF(Sheet1!C128="","",Sheet1!C128)</f>
        <v>SE_UNLOADER_CONVEYOR_N_OUTPUT_BLOCKED_CHECK</v>
      </c>
      <c r="D128" t="s">
        <v>87</v>
      </c>
      <c r="E128" t="str">
        <f t="shared" si="1"/>
        <v>TRUE</v>
      </c>
    </row>
    <row r="129" spans="1:5" x14ac:dyDescent="0.3">
      <c r="A129">
        <f>IF(Sheet1!A129="", "", Sheet1!A129)</f>
        <v>13505</v>
      </c>
      <c r="B129" t="str">
        <f>IF(Sheet1!U129="", "", IF(Sheet1!U129="HEAVY","SERIOUS","LIGHT"))</f>
        <v>SERIOUS</v>
      </c>
      <c r="C129" t="str">
        <f>IF(Sheet1!C129="","",Sheet1!C129)</f>
        <v>SE_UNLOADER_CONVEYOR_P1_CELL_NOT_EXIST_CHECK</v>
      </c>
      <c r="D129" t="s">
        <v>87</v>
      </c>
      <c r="E129" t="str">
        <f t="shared" si="1"/>
        <v>TRUE</v>
      </c>
    </row>
    <row r="130" spans="1:5" x14ac:dyDescent="0.3">
      <c r="A130">
        <f>IF(Sheet1!A130="", "", Sheet1!A130)</f>
        <v>13506</v>
      </c>
      <c r="B130" t="str">
        <f>IF(Sheet1!U130="", "", IF(Sheet1!U130="HEAVY","SERIOUS","LIGHT"))</f>
        <v>SERIOUS</v>
      </c>
      <c r="C130" t="str">
        <f>IF(Sheet1!C130="","",Sheet1!C130)</f>
        <v>SE_UNLOADER_CONVEYOR_P2_CELL_NOT_EXIST_CHECK</v>
      </c>
      <c r="D130" t="s">
        <v>87</v>
      </c>
      <c r="E130" t="str">
        <f t="shared" si="1"/>
        <v>TRUE</v>
      </c>
    </row>
    <row r="131" spans="1:5" x14ac:dyDescent="0.3">
      <c r="A131">
        <f>IF(Sheet1!A131="", "", Sheet1!A131)</f>
        <v>13507</v>
      </c>
      <c r="B131" t="str">
        <f>IF(Sheet1!U131="", "", IF(Sheet1!U131="HEAVY","SERIOUS","LIGHT"))</f>
        <v>SERIOUS</v>
      </c>
      <c r="C131" t="str">
        <f>IF(Sheet1!C131="","",Sheet1!C131)</f>
        <v>SE_UNLOADER_CONVEYOR_ALL_CELL_NOT_EXIST_CHECK</v>
      </c>
      <c r="D131" t="s">
        <v>87</v>
      </c>
      <c r="E131" t="str">
        <f t="shared" ref="E131:E194" si="2">IF(A131="","","TRUE")</f>
        <v>TRUE</v>
      </c>
    </row>
    <row r="132" spans="1:5" x14ac:dyDescent="0.3">
      <c r="A132">
        <f>IF(Sheet1!A132="", "", Sheet1!A132)</f>
        <v>14000</v>
      </c>
      <c r="B132" t="str">
        <f>IF(Sheet1!U132="", "", IF(Sheet1!U132="HEAVY","SERIOUS","LIGHT"))</f>
        <v>SERIOUS</v>
      </c>
      <c r="C132" t="str">
        <f>IF(Sheet1!C132="","",Sheet1!C132)</f>
        <v>EM_LOWER_EQUIPMENT_N_EMERGENCY_STATE</v>
      </c>
      <c r="D132" t="s">
        <v>87</v>
      </c>
      <c r="E132" t="str">
        <f t="shared" si="2"/>
        <v>TRUE</v>
      </c>
    </row>
    <row r="133" spans="1:5" x14ac:dyDescent="0.3">
      <c r="A133">
        <f>IF(Sheet1!A133="", "", Sheet1!A133)</f>
        <v>14001</v>
      </c>
      <c r="B133" t="str">
        <f>IF(Sheet1!U133="", "", IF(Sheet1!U133="HEAVY","SERIOUS","LIGHT"))</f>
        <v>LIGHT</v>
      </c>
      <c r="C133" t="str">
        <f>IF(Sheet1!C133="","",Sheet1!C133)</f>
        <v>EM_LOWER_EQUIPMENT_DOOR_OPEN</v>
      </c>
      <c r="D133" t="s">
        <v>87</v>
      </c>
      <c r="E133" t="str">
        <f t="shared" si="2"/>
        <v>TRUE</v>
      </c>
    </row>
    <row r="134" spans="1:5" x14ac:dyDescent="0.3">
      <c r="A134">
        <f>IF(Sheet1!A134="", "", Sheet1!A134)</f>
        <v>20000</v>
      </c>
      <c r="B134" t="str">
        <f>IF(Sheet1!U134="", "", IF(Sheet1!U134="HEAVY","SERIOUS","LIGHT"))</f>
        <v>LIGHT</v>
      </c>
      <c r="C134" t="str">
        <f>IF(Sheet1!C134="","",Sheet1!C134)</f>
        <v>VI_LOADER_MCR_P1_GRAB_TIMEOUT</v>
      </c>
      <c r="D134" t="s">
        <v>87</v>
      </c>
      <c r="E134" t="str">
        <f t="shared" si="2"/>
        <v>TRUE</v>
      </c>
    </row>
    <row r="135" spans="1:5" x14ac:dyDescent="0.3">
      <c r="A135">
        <f>IF(Sheet1!A135="", "", Sheet1!A135)</f>
        <v>20001</v>
      </c>
      <c r="B135" t="str">
        <f>IF(Sheet1!U135="", "", IF(Sheet1!U135="HEAVY","SERIOUS","LIGHT"))</f>
        <v>LIGHT</v>
      </c>
      <c r="C135" t="str">
        <f>IF(Sheet1!C135="","",Sheet1!C135)</f>
        <v>VI_LOADER_MCR_P1_RESULT_TIMEOUT</v>
      </c>
      <c r="D135" t="s">
        <v>87</v>
      </c>
      <c r="E135" t="str">
        <f t="shared" si="2"/>
        <v>TRUE</v>
      </c>
    </row>
    <row r="136" spans="1:5" x14ac:dyDescent="0.3">
      <c r="A136">
        <f>IF(Sheet1!A136="", "", Sheet1!A136)</f>
        <v>20002</v>
      </c>
      <c r="B136" t="str">
        <f>IF(Sheet1!U136="", "", IF(Sheet1!U136="HEAVY","SERIOUS","LIGHT"))</f>
        <v>SERIOUS</v>
      </c>
      <c r="C136" t="str">
        <f>IF(Sheet1!C136="","",Sheet1!C136)</f>
        <v>VI_LOADER_MCR_P1_CONTINUOUS_FAILURE</v>
      </c>
      <c r="D136" t="s">
        <v>87</v>
      </c>
      <c r="E136" t="str">
        <f t="shared" si="2"/>
        <v>TRUE</v>
      </c>
    </row>
    <row r="137" spans="1:5" x14ac:dyDescent="0.3">
      <c r="A137">
        <f>IF(Sheet1!A137="", "", Sheet1!A137)</f>
        <v>20010</v>
      </c>
      <c r="B137" t="str">
        <f>IF(Sheet1!U137="", "", IF(Sheet1!U137="HEAVY","SERIOUS","LIGHT"))</f>
        <v>LIGHT</v>
      </c>
      <c r="C137" t="str">
        <f>IF(Sheet1!C137="","",Sheet1!C137)</f>
        <v>VI_LOADER_MCR_P2_GRAB_TIMEOUT</v>
      </c>
      <c r="D137" t="s">
        <v>87</v>
      </c>
      <c r="E137" t="str">
        <f t="shared" si="2"/>
        <v>TRUE</v>
      </c>
    </row>
    <row r="138" spans="1:5" x14ac:dyDescent="0.3">
      <c r="A138">
        <f>IF(Sheet1!A138="", "", Sheet1!A138)</f>
        <v>20011</v>
      </c>
      <c r="B138" t="str">
        <f>IF(Sheet1!U138="", "", IF(Sheet1!U138="HEAVY","SERIOUS","LIGHT"))</f>
        <v>LIGHT</v>
      </c>
      <c r="C138" t="str">
        <f>IF(Sheet1!C138="","",Sheet1!C138)</f>
        <v>VI_LOADER_MCR_P2_RESULT_TIMEOUT</v>
      </c>
      <c r="D138" t="s">
        <v>87</v>
      </c>
      <c r="E138" t="str">
        <f t="shared" si="2"/>
        <v>TRUE</v>
      </c>
    </row>
    <row r="139" spans="1:5" x14ac:dyDescent="0.3">
      <c r="A139">
        <f>IF(Sheet1!A139="", "", Sheet1!A139)</f>
        <v>20012</v>
      </c>
      <c r="B139" t="str">
        <f>IF(Sheet1!U139="", "", IF(Sheet1!U139="HEAVY","SERIOUS","LIGHT"))</f>
        <v>SERIOUS</v>
      </c>
      <c r="C139" t="str">
        <f>IF(Sheet1!C139="","",Sheet1!C139)</f>
        <v>VI_LOADER_MCR_P2_CONTINUOUS_FAILURE</v>
      </c>
      <c r="D139" t="s">
        <v>87</v>
      </c>
      <c r="E139" t="str">
        <f t="shared" si="2"/>
        <v>TRUE</v>
      </c>
    </row>
    <row r="140" spans="1:5" x14ac:dyDescent="0.3">
      <c r="A140">
        <f>IF(Sheet1!A140="", "", Sheet1!A140)</f>
        <v>20500</v>
      </c>
      <c r="B140" t="str">
        <f>IF(Sheet1!U140="", "", IF(Sheet1!U140="HEAVY","SERIOUS","LIGHT"))</f>
        <v>SERIOUS</v>
      </c>
      <c r="C140" t="str">
        <f>IF(Sheet1!C140="","",Sheet1!C140)</f>
        <v>CO_PRE_ALIGN_N_DISCONNECTED</v>
      </c>
      <c r="D140" t="s">
        <v>87</v>
      </c>
      <c r="E140" t="str">
        <f t="shared" si="2"/>
        <v>TRUE</v>
      </c>
    </row>
    <row r="141" spans="1:5" x14ac:dyDescent="0.3">
      <c r="A141">
        <f>IF(Sheet1!A141="", "", Sheet1!A141)</f>
        <v>20501</v>
      </c>
      <c r="B141" t="str">
        <f>IF(Sheet1!U141="", "", IF(Sheet1!U141="HEAVY","SERIOUS","LIGHT"))</f>
        <v>SERIOUS</v>
      </c>
      <c r="C141" t="str">
        <f>IF(Sheet1!C141="","",Sheet1!C141)</f>
        <v>VI_PRE_ALIGN_N_RECEIVE_ALIGN_ERROR</v>
      </c>
      <c r="D141" t="s">
        <v>87</v>
      </c>
      <c r="E141" t="str">
        <f t="shared" si="2"/>
        <v>TRUE</v>
      </c>
    </row>
    <row r="142" spans="1:5" x14ac:dyDescent="0.3">
      <c r="A142">
        <f>IF(Sheet1!A142="", "", Sheet1!A142)</f>
        <v>20502</v>
      </c>
      <c r="B142" t="str">
        <f>IF(Sheet1!U142="", "", IF(Sheet1!U142="HEAVY","SERIOUS","LIGHT"))</f>
        <v>SERIOUS</v>
      </c>
      <c r="C142" t="str">
        <f>IF(Sheet1!C142="","",Sheet1!C142)</f>
        <v>VI_PRE_ALIGN_N_MODEL_LIST_TIMEOUT</v>
      </c>
      <c r="D142" t="s">
        <v>87</v>
      </c>
      <c r="E142" t="str">
        <f t="shared" si="2"/>
        <v>TRUE</v>
      </c>
    </row>
    <row r="143" spans="1:5" x14ac:dyDescent="0.3">
      <c r="A143">
        <f>IF(Sheet1!A143="", "", Sheet1!A143)</f>
        <v>20503</v>
      </c>
      <c r="B143" t="str">
        <f>IF(Sheet1!U143="", "", IF(Sheet1!U143="HEAVY","SERIOUS","LIGHT"))</f>
        <v>SERIOUS</v>
      </c>
      <c r="C143" t="str">
        <f>IF(Sheet1!C143="","",Sheet1!C143)</f>
        <v>VI_PRE_ALIGN_N_MODEL_NOT_FOUND</v>
      </c>
      <c r="D143" t="s">
        <v>87</v>
      </c>
      <c r="E143" t="str">
        <f t="shared" si="2"/>
        <v>TRUE</v>
      </c>
    </row>
    <row r="144" spans="1:5" x14ac:dyDescent="0.3">
      <c r="A144">
        <f>IF(Sheet1!A144="", "", Sheet1!A144)</f>
        <v>20504</v>
      </c>
      <c r="B144" t="str">
        <f>IF(Sheet1!U144="", "", IF(Sheet1!U144="HEAVY","SERIOUS","LIGHT"))</f>
        <v>SERIOUS</v>
      </c>
      <c r="C144" t="str">
        <f>IF(Sheet1!C144="","",Sheet1!C144)</f>
        <v>VI_PRE_ALIGN_START_TIMEOUT</v>
      </c>
      <c r="D144" t="s">
        <v>87</v>
      </c>
      <c r="E144" t="str">
        <f t="shared" si="2"/>
        <v>TRUE</v>
      </c>
    </row>
    <row r="145" spans="1:5" x14ac:dyDescent="0.3">
      <c r="A145">
        <f>IF(Sheet1!A145="", "", Sheet1!A145)</f>
        <v>20505</v>
      </c>
      <c r="B145" t="str">
        <f>IF(Sheet1!U145="", "", IF(Sheet1!U145="HEAVY","SERIOUS","LIGHT"))</f>
        <v>SERIOUS</v>
      </c>
      <c r="C145" t="str">
        <f>IF(Sheet1!C145="","",Sheet1!C145)</f>
        <v>VI_PRE_ALIGN_COMPLETE_TIMEOUT</v>
      </c>
      <c r="D145" t="s">
        <v>87</v>
      </c>
      <c r="E145" t="str">
        <f t="shared" si="2"/>
        <v>TRUE</v>
      </c>
    </row>
    <row r="146" spans="1:5" x14ac:dyDescent="0.3">
      <c r="A146">
        <f>IF(Sheet1!A146="", "", Sheet1!A146)</f>
        <v>20506</v>
      </c>
      <c r="B146" t="str">
        <f>IF(Sheet1!U146="", "", IF(Sheet1!U146="HEAVY","SERIOUS","LIGHT"))</f>
        <v>SERIOUS</v>
      </c>
      <c r="C146" t="str">
        <f>IF(Sheet1!C146="","",Sheet1!C146)</f>
        <v>CO_PRE_ALIGN_COMPLETE_VALIDATION_FAIL</v>
      </c>
      <c r="D146" t="s">
        <v>87</v>
      </c>
      <c r="E146" t="str">
        <f t="shared" si="2"/>
        <v>TRUE</v>
      </c>
    </row>
    <row r="147" spans="1:5" x14ac:dyDescent="0.3">
      <c r="A147">
        <f>IF(Sheet1!A147="", "", Sheet1!A147)</f>
        <v>20507</v>
      </c>
      <c r="B147" t="str">
        <f>IF(Sheet1!U147="", "", IF(Sheet1!U147="HEAVY","SERIOUS","LIGHT"))</f>
        <v>SERIOUS</v>
      </c>
      <c r="C147" t="str">
        <f>IF(Sheet1!C147="","",Sheet1!C147)</f>
        <v>VI_PRE_ALIGN_P1_OVERRANGE_X</v>
      </c>
      <c r="D147" t="s">
        <v>87</v>
      </c>
      <c r="E147" t="str">
        <f t="shared" si="2"/>
        <v>TRUE</v>
      </c>
    </row>
    <row r="148" spans="1:5" x14ac:dyDescent="0.3">
      <c r="A148">
        <f>IF(Sheet1!A148="", "", Sheet1!A148)</f>
        <v>20508</v>
      </c>
      <c r="B148" t="str">
        <f>IF(Sheet1!U148="", "", IF(Sheet1!U148="HEAVY","SERIOUS","LIGHT"))</f>
        <v>SERIOUS</v>
      </c>
      <c r="C148" t="str">
        <f>IF(Sheet1!C148="","",Sheet1!C148)</f>
        <v>VI_PRE_ALIGN_P1_OVERRANGE_Y</v>
      </c>
      <c r="D148" t="s">
        <v>87</v>
      </c>
      <c r="E148" t="str">
        <f t="shared" si="2"/>
        <v>TRUE</v>
      </c>
    </row>
    <row r="149" spans="1:5" x14ac:dyDescent="0.3">
      <c r="A149">
        <f>IF(Sheet1!A149="", "", Sheet1!A149)</f>
        <v>20509</v>
      </c>
      <c r="B149" t="str">
        <f>IF(Sheet1!U149="", "", IF(Sheet1!U149="HEAVY","SERIOUS","LIGHT"))</f>
        <v>SERIOUS</v>
      </c>
      <c r="C149" t="str">
        <f>IF(Sheet1!C149="","",Sheet1!C149)</f>
        <v>VI_PRE_ALIGN_P1_OVERRANGE_T</v>
      </c>
      <c r="D149" t="s">
        <v>87</v>
      </c>
      <c r="E149" t="str">
        <f t="shared" si="2"/>
        <v>TRUE</v>
      </c>
    </row>
    <row r="150" spans="1:5" x14ac:dyDescent="0.3">
      <c r="A150">
        <f>IF(Sheet1!A150="", "", Sheet1!A150)</f>
        <v>20510</v>
      </c>
      <c r="B150" t="str">
        <f>IF(Sheet1!U150="", "", IF(Sheet1!U150="HEAVY","SERIOUS","LIGHT"))</f>
        <v>SERIOUS</v>
      </c>
      <c r="C150" t="str">
        <f>IF(Sheet1!C150="","",Sheet1!C150)</f>
        <v>VI_PRE_ALIGN_P1_OVERRANGE_SCORE</v>
      </c>
      <c r="D150" t="s">
        <v>87</v>
      </c>
      <c r="E150" t="str">
        <f t="shared" si="2"/>
        <v>TRUE</v>
      </c>
    </row>
    <row r="151" spans="1:5" x14ac:dyDescent="0.3">
      <c r="A151">
        <f>IF(Sheet1!A151="", "", Sheet1!A151)</f>
        <v>20511</v>
      </c>
      <c r="B151" t="str">
        <f>IF(Sheet1!U151="", "", IF(Sheet1!U151="HEAVY","SERIOUS","LIGHT"))</f>
        <v>SERIOUS</v>
      </c>
      <c r="C151" t="str">
        <f>IF(Sheet1!C151="","",Sheet1!C151)</f>
        <v>VI_PRE_ALIGN_P2_OVERRANGE_X</v>
      </c>
      <c r="D151" t="s">
        <v>87</v>
      </c>
      <c r="E151" t="str">
        <f t="shared" si="2"/>
        <v>TRUE</v>
      </c>
    </row>
    <row r="152" spans="1:5" x14ac:dyDescent="0.3">
      <c r="A152">
        <f>IF(Sheet1!A152="", "", Sheet1!A152)</f>
        <v>20512</v>
      </c>
      <c r="B152" t="str">
        <f>IF(Sheet1!U152="", "", IF(Sheet1!U152="HEAVY","SERIOUS","LIGHT"))</f>
        <v>SERIOUS</v>
      </c>
      <c r="C152" t="str">
        <f>IF(Sheet1!C152="","",Sheet1!C152)</f>
        <v>VI_PRE_ALIGN_P2_OVERRANGE_Y</v>
      </c>
      <c r="D152" t="s">
        <v>87</v>
      </c>
      <c r="E152" t="str">
        <f t="shared" si="2"/>
        <v>TRUE</v>
      </c>
    </row>
    <row r="153" spans="1:5" x14ac:dyDescent="0.3">
      <c r="A153">
        <f>IF(Sheet1!A153="", "", Sheet1!A153)</f>
        <v>20513</v>
      </c>
      <c r="B153" t="str">
        <f>IF(Sheet1!U153="", "", IF(Sheet1!U153="HEAVY","SERIOUS","LIGHT"))</f>
        <v>SERIOUS</v>
      </c>
      <c r="C153" t="str">
        <f>IF(Sheet1!C153="","",Sheet1!C153)</f>
        <v>VI_PRE_ALIGN_P2_OVERRANGE_T</v>
      </c>
      <c r="D153" t="s">
        <v>87</v>
      </c>
      <c r="E153" t="str">
        <f t="shared" si="2"/>
        <v>TRUE</v>
      </c>
    </row>
    <row r="154" spans="1:5" x14ac:dyDescent="0.3">
      <c r="A154">
        <f>IF(Sheet1!A154="", "", Sheet1!A154)</f>
        <v>20514</v>
      </c>
      <c r="B154" t="str">
        <f>IF(Sheet1!U154="", "", IF(Sheet1!U154="HEAVY","SERIOUS","LIGHT"))</f>
        <v>SERIOUS</v>
      </c>
      <c r="C154" t="str">
        <f>IF(Sheet1!C154="","",Sheet1!C154)</f>
        <v>VI_PRE_ALIGN_P2_OVERRANGE_SCORE</v>
      </c>
      <c r="D154" t="s">
        <v>87</v>
      </c>
      <c r="E154" t="str">
        <f t="shared" si="2"/>
        <v>TRUE</v>
      </c>
    </row>
    <row r="155" spans="1:5" x14ac:dyDescent="0.3">
      <c r="A155">
        <f>IF(Sheet1!A155="", "", Sheet1!A155)</f>
        <v>20515</v>
      </c>
      <c r="B155" t="str">
        <f>IF(Sheet1!U155="", "", IF(Sheet1!U155="HEAVY","SERIOUS","LIGHT"))</f>
        <v>SERIOUS</v>
      </c>
      <c r="C155" t="str">
        <f>IF(Sheet1!C155="","",Sheet1!C155)</f>
        <v>VI_PRE_ALIGN_RETRY_COUNTOVER</v>
      </c>
      <c r="D155" t="s">
        <v>87</v>
      </c>
      <c r="E155" t="str">
        <f t="shared" si="2"/>
        <v>TRUE</v>
      </c>
    </row>
    <row r="156" spans="1:5" x14ac:dyDescent="0.3">
      <c r="A156">
        <f>IF(Sheet1!A156="", "", Sheet1!A156)</f>
        <v>20550</v>
      </c>
      <c r="B156" t="str">
        <f>IF(Sheet1!U156="", "", IF(Sheet1!U156="HEAVY","SERIOUS","LIGHT"))</f>
        <v>SERIOUS</v>
      </c>
      <c r="C156" t="str">
        <f>IF(Sheet1!C156="","",Sheet1!C156)</f>
        <v>VI_PRE_ALIGN_ERROR_SYSTEM_NOT_RUNNING</v>
      </c>
      <c r="D156" t="s">
        <v>87</v>
      </c>
      <c r="E156" t="str">
        <f t="shared" si="2"/>
        <v>TRUE</v>
      </c>
    </row>
    <row r="157" spans="1:5" x14ac:dyDescent="0.3">
      <c r="A157">
        <f>IF(Sheet1!A157="", "", Sheet1!A157)</f>
        <v>20551</v>
      </c>
      <c r="B157" t="str">
        <f>IF(Sheet1!U157="", "", IF(Sheet1!U157="HEAVY","SERIOUS","LIGHT"))</f>
        <v>SERIOUS</v>
      </c>
      <c r="C157" t="str">
        <f>IF(Sheet1!C157="","",Sheet1!C157)</f>
        <v>VI_PRE_ALIGN_ERROR_CAMERA</v>
      </c>
      <c r="D157" t="s">
        <v>87</v>
      </c>
      <c r="E157" t="str">
        <f t="shared" si="2"/>
        <v>TRUE</v>
      </c>
    </row>
    <row r="158" spans="1:5" x14ac:dyDescent="0.3">
      <c r="A158">
        <f>IF(Sheet1!A158="", "", Sheet1!A158)</f>
        <v>20552</v>
      </c>
      <c r="B158" t="str">
        <f>IF(Sheet1!U158="", "", IF(Sheet1!U158="HEAVY","SERIOUS","LIGHT"))</f>
        <v>SERIOUS</v>
      </c>
      <c r="C158" t="str">
        <f>IF(Sheet1!C158="","",Sheet1!C158)</f>
        <v>VI_PRE_ALIGN_ERROR_LIGHT_CONTROLLER</v>
      </c>
      <c r="D158" t="s">
        <v>87</v>
      </c>
      <c r="E158" t="str">
        <f t="shared" si="2"/>
        <v>TRUE</v>
      </c>
    </row>
    <row r="159" spans="1:5" x14ac:dyDescent="0.3">
      <c r="A159">
        <f>IF(Sheet1!A159="", "", Sheet1!A159)</f>
        <v>20553</v>
      </c>
      <c r="B159" t="str">
        <f>IF(Sheet1!U159="", "", IF(Sheet1!U159="HEAVY","SERIOUS","LIGHT"))</f>
        <v>SERIOUS</v>
      </c>
      <c r="C159" t="str">
        <f>IF(Sheet1!C159="","",Sheet1!C159)</f>
        <v>VI_PRE_ALIGN_ERROR_LIGHT_TEMP_OVER</v>
      </c>
      <c r="D159" t="s">
        <v>87</v>
      </c>
      <c r="E159" t="str">
        <f t="shared" si="2"/>
        <v>TRUE</v>
      </c>
    </row>
    <row r="160" spans="1:5" x14ac:dyDescent="0.3">
      <c r="A160">
        <f>IF(Sheet1!A160="", "", Sheet1!A160)</f>
        <v>21000</v>
      </c>
      <c r="B160" t="str">
        <f>IF(Sheet1!U160="", "", IF(Sheet1!U160="HEAVY","SERIOUS","LIGHT"))</f>
        <v>SERIOUS</v>
      </c>
      <c r="C160" t="str">
        <f>IF(Sheet1!C160="","",Sheet1!C160)</f>
        <v>CO_INSP_PC_MAIN_N_DISCONNECTED</v>
      </c>
      <c r="D160" t="s">
        <v>87</v>
      </c>
      <c r="E160" t="str">
        <f t="shared" si="2"/>
        <v>TRUE</v>
      </c>
    </row>
    <row r="161" spans="1:5" x14ac:dyDescent="0.3">
      <c r="A161">
        <f>IF(Sheet1!A161="", "", Sheet1!A161)</f>
        <v>21001</v>
      </c>
      <c r="B161" t="str">
        <f>IF(Sheet1!U161="", "", IF(Sheet1!U161="HEAVY","SERIOUS","LIGHT"))</f>
        <v>SERIOUS</v>
      </c>
      <c r="C161" t="str">
        <f>IF(Sheet1!C161="","",Sheet1!C161)</f>
        <v>CO_INSP_PC_MAIN_LIGHT_INTENCITY_REQUEST</v>
      </c>
      <c r="D161" t="s">
        <v>87</v>
      </c>
      <c r="E161" t="str">
        <f t="shared" si="2"/>
        <v>TRUE</v>
      </c>
    </row>
    <row r="162" spans="1:5" x14ac:dyDescent="0.3">
      <c r="A162">
        <f>IF(Sheet1!A162="", "", Sheet1!A162)</f>
        <v>21002</v>
      </c>
      <c r="B162" t="str">
        <f>IF(Sheet1!U162="", "", IF(Sheet1!U162="HEAVY","SERIOUS","LIGHT"))</f>
        <v>SERIOUS</v>
      </c>
      <c r="C162" t="str">
        <f>IF(Sheet1!C162="","",Sheet1!C162)</f>
        <v>CO_INSP_PC_MAIN_LIGHT_TEMPERATURE_REQUEST</v>
      </c>
      <c r="D162" t="s">
        <v>87</v>
      </c>
      <c r="E162" t="str">
        <f t="shared" si="2"/>
        <v>TRUE</v>
      </c>
    </row>
    <row r="163" spans="1:5" x14ac:dyDescent="0.3">
      <c r="A163">
        <f>IF(Sheet1!A163="", "", Sheet1!A163)</f>
        <v>21003</v>
      </c>
      <c r="B163" t="str">
        <f>IF(Sheet1!U163="", "", IF(Sheet1!U163="HEAVY","SERIOUS","LIGHT"))</f>
        <v>SERIOUS</v>
      </c>
      <c r="C163" t="str">
        <f>IF(Sheet1!C163="","",Sheet1!C163)</f>
        <v>CO_INSP_PC_MAIN_CHECK_STATUS_SEND</v>
      </c>
      <c r="D163" t="s">
        <v>87</v>
      </c>
      <c r="E163" t="str">
        <f t="shared" si="2"/>
        <v>TRUE</v>
      </c>
    </row>
    <row r="164" spans="1:5" x14ac:dyDescent="0.3">
      <c r="A164">
        <f>IF(Sheet1!A164="", "", Sheet1!A164)</f>
        <v>21004</v>
      </c>
      <c r="B164" t="str">
        <f>IF(Sheet1!U164="", "", IF(Sheet1!U164="HEAVY","SERIOUS","LIGHT"))</f>
        <v>SERIOUS</v>
      </c>
      <c r="C164" t="str">
        <f>IF(Sheet1!C164="","",Sheet1!C164)</f>
        <v>CO_INSP_PC_MAIN_NOT_READY</v>
      </c>
      <c r="D164" t="s">
        <v>87</v>
      </c>
      <c r="E164" t="str">
        <f t="shared" si="2"/>
        <v>TRUE</v>
      </c>
    </row>
    <row r="165" spans="1:5" x14ac:dyDescent="0.3">
      <c r="A165">
        <f>IF(Sheet1!A165="", "", Sheet1!A165)</f>
        <v>21005</v>
      </c>
      <c r="B165" t="str">
        <f>IF(Sheet1!U165="", "", IF(Sheet1!U165="HEAVY","SERIOUS","LIGHT"))</f>
        <v>SERIOUS</v>
      </c>
      <c r="C165" t="str">
        <f>IF(Sheet1!C165="","",Sheet1!C165)</f>
        <v>CO_INSP_PC_MAIN_GRAB_START_SEND</v>
      </c>
      <c r="D165" t="s">
        <v>87</v>
      </c>
      <c r="E165" t="str">
        <f t="shared" si="2"/>
        <v>TRUE</v>
      </c>
    </row>
    <row r="166" spans="1:5" x14ac:dyDescent="0.3">
      <c r="A166">
        <f>IF(Sheet1!A166="", "", Sheet1!A166)</f>
        <v>21006</v>
      </c>
      <c r="B166" t="str">
        <f>IF(Sheet1!U166="", "", IF(Sheet1!U166="HEAVY","SERIOUS","LIGHT"))</f>
        <v>SERIOUS</v>
      </c>
      <c r="C166" t="str">
        <f>IF(Sheet1!C166="","",Sheet1!C166)</f>
        <v>CO_INSP_PC_MAIN_GRAB_START_VALIDATION</v>
      </c>
      <c r="D166" t="s">
        <v>87</v>
      </c>
      <c r="E166" t="str">
        <f t="shared" si="2"/>
        <v>TRUE</v>
      </c>
    </row>
    <row r="167" spans="1:5" x14ac:dyDescent="0.3">
      <c r="A167">
        <f>IF(Sheet1!A167="", "", Sheet1!A167)</f>
        <v>21007</v>
      </c>
      <c r="B167" t="str">
        <f>IF(Sheet1!U167="", "", IF(Sheet1!U167="HEAVY","SERIOUS","LIGHT"))</f>
        <v>SERIOUS</v>
      </c>
      <c r="C167" t="str">
        <f>IF(Sheet1!C167="","",Sheet1!C167)</f>
        <v>CO_INSP_PC_MAIN_GRAB_END_TIMEOUT</v>
      </c>
      <c r="D167" t="s">
        <v>87</v>
      </c>
      <c r="E167" t="str">
        <f t="shared" si="2"/>
        <v>TRUE</v>
      </c>
    </row>
    <row r="168" spans="1:5" x14ac:dyDescent="0.3">
      <c r="A168">
        <f>IF(Sheet1!A168="", "", Sheet1!A168)</f>
        <v>21008</v>
      </c>
      <c r="B168" t="str">
        <f>IF(Sheet1!U168="", "", IF(Sheet1!U168="HEAVY","SERIOUS","LIGHT"))</f>
        <v>SERIOUS</v>
      </c>
      <c r="C168" t="str">
        <f>IF(Sheet1!C168="","",Sheet1!C168)</f>
        <v>CO_INSP_PC_MAIN_GRAB_END_VALIDATION</v>
      </c>
      <c r="D168" t="s">
        <v>87</v>
      </c>
      <c r="E168" t="str">
        <f t="shared" si="2"/>
        <v>TRUE</v>
      </c>
    </row>
    <row r="169" spans="1:5" x14ac:dyDescent="0.3">
      <c r="A169">
        <f>IF(Sheet1!A169="", "", Sheet1!A169)</f>
        <v>21009</v>
      </c>
      <c r="B169" t="str">
        <f>IF(Sheet1!U169="", "", IF(Sheet1!U169="HEAVY","SERIOUS","LIGHT"))</f>
        <v>LIGHT</v>
      </c>
      <c r="C169" t="str">
        <f>IF(Sheet1!C169="","",Sheet1!C169)</f>
        <v>IN_INSP_PC_MAIN_TOTAL_RESULT_TIMEOUT</v>
      </c>
      <c r="D169" t="s">
        <v>87</v>
      </c>
      <c r="E169" t="str">
        <f t="shared" si="2"/>
        <v>TRUE</v>
      </c>
    </row>
    <row r="170" spans="1:5" x14ac:dyDescent="0.3">
      <c r="A170">
        <f>IF(Sheet1!A170="", "", Sheet1!A170)</f>
        <v>21010</v>
      </c>
      <c r="B170" t="str">
        <f>IF(Sheet1!U170="", "", IF(Sheet1!U170="HEAVY","SERIOUS","LIGHT"))</f>
        <v>SERIOUS</v>
      </c>
      <c r="C170" t="str">
        <f>IF(Sheet1!C170="","",Sheet1!C170)</f>
        <v>IN_INSP_PC_MAIN_TOTAL_RESULT_NORESPONSE</v>
      </c>
      <c r="D170" t="s">
        <v>87</v>
      </c>
      <c r="E170" t="str">
        <f t="shared" si="2"/>
        <v>TRUE</v>
      </c>
    </row>
    <row r="171" spans="1:5" x14ac:dyDescent="0.3">
      <c r="A171">
        <f>IF(Sheet1!A171="", "", Sheet1!A171)</f>
        <v>21011</v>
      </c>
      <c r="B171" t="str">
        <f>IF(Sheet1!U171="", "", IF(Sheet1!U171="HEAVY","SERIOUS","LIGHT"))</f>
        <v>SERIOUS</v>
      </c>
      <c r="C171" t="str">
        <f>IF(Sheet1!C171="","",Sheet1!C171)</f>
        <v>CO_INSP_PC_MAIN_ERROR</v>
      </c>
      <c r="D171" t="s">
        <v>87</v>
      </c>
      <c r="E171" t="str">
        <f t="shared" si="2"/>
        <v>TRUE</v>
      </c>
    </row>
    <row r="172" spans="1:5" x14ac:dyDescent="0.3">
      <c r="A172">
        <f>IF(Sheet1!A172="", "", Sheet1!A172)</f>
        <v>21012</v>
      </c>
      <c r="B172" t="str">
        <f>IF(Sheet1!U172="", "", IF(Sheet1!U172="HEAVY","SERIOUS","LIGHT"))</f>
        <v>SERIOUS</v>
      </c>
      <c r="C172" t="str">
        <f>IF(Sheet1!C172="","",Sheet1!C172)</f>
        <v>CO_INSP_PC_MAIN_ERROR_SAME_POSITION_DEFECT</v>
      </c>
      <c r="D172" t="s">
        <v>87</v>
      </c>
      <c r="E172" t="str">
        <f t="shared" si="2"/>
        <v>TRUE</v>
      </c>
    </row>
    <row r="173" spans="1:5" x14ac:dyDescent="0.3">
      <c r="A173">
        <f>IF(Sheet1!A173="", "", Sheet1!A173)</f>
        <v>21013</v>
      </c>
      <c r="B173" t="str">
        <f>IF(Sheet1!U173="", "", IF(Sheet1!U173="HEAVY","SERIOUS","LIGHT"))</f>
        <v>SERIOUS</v>
      </c>
      <c r="C173" t="str">
        <f>IF(Sheet1!C173="","",Sheet1!C173)</f>
        <v>CO_INSP_PC_MAIN_ERROR_CAMERA</v>
      </c>
      <c r="D173" t="s">
        <v>87</v>
      </c>
      <c r="E173" t="str">
        <f t="shared" si="2"/>
        <v>TRUE</v>
      </c>
    </row>
    <row r="174" spans="1:5" x14ac:dyDescent="0.3">
      <c r="A174">
        <f>IF(Sheet1!A174="", "", Sheet1!A174)</f>
        <v>21014</v>
      </c>
      <c r="B174" t="str">
        <f>IF(Sheet1!U174="", "", IF(Sheet1!U174="HEAVY","SERIOUS","LIGHT"))</f>
        <v>SERIOUS</v>
      </c>
      <c r="C174" t="str">
        <f>IF(Sheet1!C174="","",Sheet1!C174)</f>
        <v>CO_INSP_PC_MAIN_ERROR_LIGHT_CONTROLLER</v>
      </c>
      <c r="D174" t="s">
        <v>87</v>
      </c>
      <c r="E174" t="str">
        <f t="shared" si="2"/>
        <v>TRUE</v>
      </c>
    </row>
    <row r="175" spans="1:5" x14ac:dyDescent="0.3">
      <c r="A175">
        <f>IF(Sheet1!A175="", "", Sheet1!A175)</f>
        <v>21015</v>
      </c>
      <c r="B175" t="str">
        <f>IF(Sheet1!U175="", "", IF(Sheet1!U175="HEAVY","SERIOUS","LIGHT"))</f>
        <v>SERIOUS</v>
      </c>
      <c r="C175" t="str">
        <f>IF(Sheet1!C175="","",Sheet1!C175)</f>
        <v>CO_INSP_PC_MAIN_CELL_DATA_SYNC_SEND</v>
      </c>
      <c r="D175" t="s">
        <v>87</v>
      </c>
      <c r="E175" t="str">
        <f t="shared" si="2"/>
        <v>TRUE</v>
      </c>
    </row>
    <row r="176" spans="1:5" x14ac:dyDescent="0.3">
      <c r="A176">
        <f>IF(Sheet1!A176="", "", Sheet1!A176)</f>
        <v>21016</v>
      </c>
      <c r="B176" t="str">
        <f>IF(Sheet1!U176="", "", IF(Sheet1!U176="HEAVY","SERIOUS","LIGHT"))</f>
        <v>SERIOUS</v>
      </c>
      <c r="C176" t="str">
        <f>IF(Sheet1!C176="","",Sheet1!C176)</f>
        <v>CO_INSP_PC_MAIN_CELL_DATA_SYNC_VALIDATION</v>
      </c>
      <c r="D176" t="s">
        <v>87</v>
      </c>
      <c r="E176" t="str">
        <f t="shared" si="2"/>
        <v>TRUE</v>
      </c>
    </row>
    <row r="177" spans="1:5" x14ac:dyDescent="0.3">
      <c r="A177">
        <f>IF(Sheet1!A177="", "", Sheet1!A177)</f>
        <v>21017</v>
      </c>
      <c r="B177" t="str">
        <f>IF(Sheet1!U177="", "", IF(Sheet1!U177="HEAVY","SERIOUS","LIGHT"))</f>
        <v>SERIOUS</v>
      </c>
      <c r="C177" t="str">
        <f>IF(Sheet1!C177="","",Sheet1!C177)</f>
        <v>CO_INSP_PC_MAIN_AMO_GRAB_START_SEND</v>
      </c>
      <c r="D177" t="s">
        <v>87</v>
      </c>
      <c r="E177" t="str">
        <f t="shared" si="2"/>
        <v>TRUE</v>
      </c>
    </row>
    <row r="178" spans="1:5" x14ac:dyDescent="0.3">
      <c r="A178">
        <f>IF(Sheet1!A178="", "", Sheet1!A178)</f>
        <v>21018</v>
      </c>
      <c r="B178" t="str">
        <f>IF(Sheet1!U178="", "", IF(Sheet1!U178="HEAVY","SERIOUS","LIGHT"))</f>
        <v>SERIOUS</v>
      </c>
      <c r="C178" t="str">
        <f>IF(Sheet1!C178="","",Sheet1!C178)</f>
        <v>CO_INSP_PC_MAIN_AMO_GRAB_START_VALIDATION</v>
      </c>
      <c r="D178" t="s">
        <v>87</v>
      </c>
      <c r="E178" t="str">
        <f t="shared" si="2"/>
        <v>TRUE</v>
      </c>
    </row>
    <row r="179" spans="1:5" x14ac:dyDescent="0.3">
      <c r="A179">
        <f>IF(Sheet1!A179="", "", Sheet1!A179)</f>
        <v>21019</v>
      </c>
      <c r="B179" t="str">
        <f>IF(Sheet1!U179="", "", IF(Sheet1!U179="HEAVY","SERIOUS","LIGHT"))</f>
        <v>SERIOUS</v>
      </c>
      <c r="C179" t="str">
        <f>IF(Sheet1!C179="","",Sheet1!C179)</f>
        <v>CO_INSP_PC_MAIN_AMO_GRAB_END_SEND</v>
      </c>
      <c r="D179" t="s">
        <v>87</v>
      </c>
      <c r="E179" t="str">
        <f t="shared" si="2"/>
        <v>TRUE</v>
      </c>
    </row>
    <row r="180" spans="1:5" x14ac:dyDescent="0.3">
      <c r="A180">
        <f>IF(Sheet1!A180="", "", Sheet1!A180)</f>
        <v>21020</v>
      </c>
      <c r="B180" t="str">
        <f>IF(Sheet1!U180="", "", IF(Sheet1!U180="HEAVY","SERIOUS","LIGHT"))</f>
        <v>SERIOUS</v>
      </c>
      <c r="C180" t="str">
        <f>IF(Sheet1!C180="","",Sheet1!C180)</f>
        <v>CO_INSP_PC_MAIN_AMO_GRAB_END_VALIDATION</v>
      </c>
      <c r="D180" t="s">
        <v>87</v>
      </c>
      <c r="E180" t="str">
        <f t="shared" si="2"/>
        <v>TRUE</v>
      </c>
    </row>
    <row r="181" spans="1:5" x14ac:dyDescent="0.3">
      <c r="A181">
        <f>IF(Sheet1!A181="", "", Sheet1!A181)</f>
        <v>29500</v>
      </c>
      <c r="B181" t="str">
        <f>IF(Sheet1!U181="", "", IF(Sheet1!U181="HEAVY","SERIOUS","LIGHT"))</f>
        <v>LIGHT</v>
      </c>
      <c r="C181" t="str">
        <f>IF(Sheet1!C181="","",Sheet1!C181)</f>
        <v>VA_TRANSFER_CIM_P1_TRACKING_FAILED</v>
      </c>
      <c r="D181" t="s">
        <v>87</v>
      </c>
      <c r="E181" t="str">
        <f t="shared" si="2"/>
        <v>TRUE</v>
      </c>
    </row>
    <row r="182" spans="1:5" x14ac:dyDescent="0.3">
      <c r="A182">
        <f>IF(Sheet1!A182="", "", Sheet1!A182)</f>
        <v>29501</v>
      </c>
      <c r="B182" t="str">
        <f>IF(Sheet1!U182="", "", IF(Sheet1!U182="HEAVY","SERIOUS","LIGHT"))</f>
        <v>LIGHT</v>
      </c>
      <c r="C182" t="str">
        <f>IF(Sheet1!C182="","",Sheet1!C182)</f>
        <v>VA_TRANSFER_CIM_P1_TRACKING_TIMEOUT</v>
      </c>
      <c r="D182" t="s">
        <v>87</v>
      </c>
      <c r="E182" t="str">
        <f t="shared" si="2"/>
        <v>TRUE</v>
      </c>
    </row>
    <row r="183" spans="1:5" x14ac:dyDescent="0.3">
      <c r="A183">
        <f>IF(Sheet1!A183="", "", Sheet1!A183)</f>
        <v>29502</v>
      </c>
      <c r="B183" t="str">
        <f>IF(Sheet1!U183="", "", IF(Sheet1!U183="HEAVY","SERIOUS","LIGHT"))</f>
        <v>LIGHT</v>
      </c>
      <c r="C183" t="str">
        <f>IF(Sheet1!C183="","",Sheet1!C183)</f>
        <v>VA_TRANSFER_CIM_P1_TRACKING_MISSMATCH</v>
      </c>
      <c r="D183" t="s">
        <v>87</v>
      </c>
      <c r="E183" t="str">
        <f t="shared" si="2"/>
        <v>TRUE</v>
      </c>
    </row>
    <row r="184" spans="1:5" x14ac:dyDescent="0.3">
      <c r="A184">
        <f>IF(Sheet1!A184="", "", Sheet1!A184)</f>
        <v>29510</v>
      </c>
      <c r="B184" t="str">
        <f>IF(Sheet1!U184="", "", IF(Sheet1!U184="HEAVY","SERIOUS","LIGHT"))</f>
        <v>LIGHT</v>
      </c>
      <c r="C184" t="str">
        <f>IF(Sheet1!C184="","",Sheet1!C184)</f>
        <v>VA_TRANSFER_CIM_P1_CELL_INFORMATION_DOWNLOAD_FAILED</v>
      </c>
      <c r="D184" t="s">
        <v>87</v>
      </c>
      <c r="E184" t="str">
        <f t="shared" si="2"/>
        <v>TRUE</v>
      </c>
    </row>
    <row r="185" spans="1:5" x14ac:dyDescent="0.3">
      <c r="A185">
        <f>IF(Sheet1!A185="", "", Sheet1!A185)</f>
        <v>29511</v>
      </c>
      <c r="B185" t="str">
        <f>IF(Sheet1!U185="", "", IF(Sheet1!U185="HEAVY","SERIOUS","LIGHT"))</f>
        <v>LIGHT</v>
      </c>
      <c r="C185" t="str">
        <f>IF(Sheet1!C185="","",Sheet1!C185)</f>
        <v>VA_TRANSFER_CIM_P1_CELL_INFORMATION_DOWNLOAD_TIMEOUT</v>
      </c>
      <c r="D185" t="s">
        <v>87</v>
      </c>
      <c r="E185" t="str">
        <f t="shared" si="2"/>
        <v>TRUE</v>
      </c>
    </row>
    <row r="186" spans="1:5" x14ac:dyDescent="0.3">
      <c r="A186">
        <f>IF(Sheet1!A186="", "", Sheet1!A186)</f>
        <v>29512</v>
      </c>
      <c r="B186" t="str">
        <f>IF(Sheet1!U186="", "", IF(Sheet1!U186="HEAVY","SERIOUS","LIGHT"))</f>
        <v>LIGHT</v>
      </c>
      <c r="C186" t="str">
        <f>IF(Sheet1!C186="","",Sheet1!C186)</f>
        <v>VA_TRANSFER_CIM_P1_CELL_INFORMATION_DOWNLOAD_MISSMATCH</v>
      </c>
      <c r="D186" t="s">
        <v>87</v>
      </c>
      <c r="E186" t="str">
        <f t="shared" si="2"/>
        <v>TRUE</v>
      </c>
    </row>
    <row r="187" spans="1:5" x14ac:dyDescent="0.3">
      <c r="A187">
        <f>IF(Sheet1!A187="", "", Sheet1!A187)</f>
        <v>29600</v>
      </c>
      <c r="B187" t="str">
        <f>IF(Sheet1!U187="", "", IF(Sheet1!U187="HEAVY","SERIOUS","LIGHT"))</f>
        <v>LIGHT</v>
      </c>
      <c r="C187" t="str">
        <f>IF(Sheet1!C187="","",Sheet1!C187)</f>
        <v>VA_TRANSFER_CIM_P2_TRACKING_FAILED</v>
      </c>
      <c r="D187" t="s">
        <v>87</v>
      </c>
      <c r="E187" t="str">
        <f t="shared" si="2"/>
        <v>TRUE</v>
      </c>
    </row>
    <row r="188" spans="1:5" x14ac:dyDescent="0.3">
      <c r="A188">
        <f>IF(Sheet1!A188="", "", Sheet1!A188)</f>
        <v>29601</v>
      </c>
      <c r="B188" t="str">
        <f>IF(Sheet1!U188="", "", IF(Sheet1!U188="HEAVY","SERIOUS","LIGHT"))</f>
        <v>LIGHT</v>
      </c>
      <c r="C188" t="str">
        <f>IF(Sheet1!C188="","",Sheet1!C188)</f>
        <v>VA_TRANSFER_CIM_P2_TRACKING_TIMEOUT</v>
      </c>
      <c r="D188" t="s">
        <v>87</v>
      </c>
      <c r="E188" t="str">
        <f t="shared" si="2"/>
        <v>TRUE</v>
      </c>
    </row>
    <row r="189" spans="1:5" x14ac:dyDescent="0.3">
      <c r="A189">
        <f>IF(Sheet1!A189="", "", Sheet1!A189)</f>
        <v>29602</v>
      </c>
      <c r="B189" t="str">
        <f>IF(Sheet1!U189="", "", IF(Sheet1!U189="HEAVY","SERIOUS","LIGHT"))</f>
        <v>LIGHT</v>
      </c>
      <c r="C189" t="str">
        <f>IF(Sheet1!C189="","",Sheet1!C189)</f>
        <v>VA_TRANSFER_CIM_P2_TRACKING_MISSMATCH</v>
      </c>
      <c r="D189" t="s">
        <v>87</v>
      </c>
      <c r="E189" t="str">
        <f t="shared" si="2"/>
        <v>TRUE</v>
      </c>
    </row>
    <row r="190" spans="1:5" x14ac:dyDescent="0.3">
      <c r="A190">
        <f>IF(Sheet1!A190="", "", Sheet1!A190)</f>
        <v>29610</v>
      </c>
      <c r="B190" t="str">
        <f>IF(Sheet1!U190="", "", IF(Sheet1!U190="HEAVY","SERIOUS","LIGHT"))</f>
        <v>LIGHT</v>
      </c>
      <c r="C190" t="str">
        <f>IF(Sheet1!C190="","",Sheet1!C190)</f>
        <v>VA_TRANSFER_CIM_P2_CELL_INFORMATION_DOWNLOAD_FAILED</v>
      </c>
      <c r="D190" t="s">
        <v>87</v>
      </c>
      <c r="E190" t="str">
        <f t="shared" si="2"/>
        <v>TRUE</v>
      </c>
    </row>
    <row r="191" spans="1:5" x14ac:dyDescent="0.3">
      <c r="A191">
        <f>IF(Sheet1!A191="", "", Sheet1!A191)</f>
        <v>29611</v>
      </c>
      <c r="B191" t="str">
        <f>IF(Sheet1!U191="", "", IF(Sheet1!U191="HEAVY","SERIOUS","LIGHT"))</f>
        <v>LIGHT</v>
      </c>
      <c r="C191" t="str">
        <f>IF(Sheet1!C191="","",Sheet1!C191)</f>
        <v>VA_TRANSFER_CIM_P2_CELL_INFORMATION_DOWNLOAD_TIMEOUT</v>
      </c>
      <c r="D191" t="s">
        <v>87</v>
      </c>
      <c r="E191" t="str">
        <f t="shared" si="2"/>
        <v>TRUE</v>
      </c>
    </row>
    <row r="192" spans="1:5" x14ac:dyDescent="0.3">
      <c r="A192">
        <f>IF(Sheet1!A192="", "", Sheet1!A192)</f>
        <v>29612</v>
      </c>
      <c r="B192" t="str">
        <f>IF(Sheet1!U192="", "", IF(Sheet1!U192="HEAVY","SERIOUS","LIGHT"))</f>
        <v>LIGHT</v>
      </c>
      <c r="C192" t="str">
        <f>IF(Sheet1!C192="","",Sheet1!C192)</f>
        <v>VA_TRANSFER_CIM_P2_CELL_INFORMATION_DOWNLOAD_MISSMATCH</v>
      </c>
      <c r="D192" t="s">
        <v>87</v>
      </c>
      <c r="E192" t="str">
        <f t="shared" si="2"/>
        <v>TRUE</v>
      </c>
    </row>
    <row r="193" spans="1:5" x14ac:dyDescent="0.3">
      <c r="A193">
        <f>IF(Sheet1!A193="", "", Sheet1!A193)</f>
        <v>29998</v>
      </c>
      <c r="B193" t="str">
        <f>IF(Sheet1!U193="", "", IF(Sheet1!U193="HEAVY","SERIOUS","LIGHT"))</f>
        <v>SERIOUS</v>
      </c>
      <c r="C193" t="str">
        <f>IF(Sheet1!C193="","",Sheet1!C193)</f>
        <v>CO_TRANSFER_CIM_N_HOST_DISCONNECTED</v>
      </c>
      <c r="D193" t="s">
        <v>87</v>
      </c>
      <c r="E193" t="str">
        <f t="shared" si="2"/>
        <v>TRUE</v>
      </c>
    </row>
    <row r="194" spans="1:5" x14ac:dyDescent="0.3">
      <c r="A194">
        <f>IF(Sheet1!A194="", "", Sheet1!A194)</f>
        <v>29999</v>
      </c>
      <c r="B194" t="str">
        <f>IF(Sheet1!U194="", "", IF(Sheet1!U194="HEAVY","SERIOUS","LIGHT"))</f>
        <v>SERIOUS</v>
      </c>
      <c r="C194" t="str">
        <f>IF(Sheet1!C194="","",Sheet1!C194)</f>
        <v>CO_TRANSFER_CIM_N_CIM_DISCONNECTED</v>
      </c>
      <c r="D194" t="s">
        <v>87</v>
      </c>
      <c r="E194" t="str">
        <f t="shared" si="2"/>
        <v>TRUE</v>
      </c>
    </row>
    <row r="195" spans="1:5" x14ac:dyDescent="0.3">
      <c r="A195">
        <f>IF(Sheet1!A195="", "", Sheet1!A195)</f>
        <v>30000</v>
      </c>
      <c r="B195" t="str">
        <f>IF(Sheet1!U195="", "", IF(Sheet1!U195="HEAVY","SERIOUS","LIGHT"))</f>
        <v>SERIOUS</v>
      </c>
      <c r="C195" t="str">
        <f>IF(Sheet1!C195="","",Sheet1!C195)</f>
        <v>UT_MAIN_ELECTRONICBOX_TEMPERATURE_1_N_OVER40</v>
      </c>
      <c r="D195" t="s">
        <v>87</v>
      </c>
      <c r="E195" t="str">
        <f t="shared" ref="E195:E224" si="3">IF(A195="","","TRUE")</f>
        <v>TRUE</v>
      </c>
    </row>
    <row r="196" spans="1:5" x14ac:dyDescent="0.3">
      <c r="A196">
        <f>IF(Sheet1!A196="", "", Sheet1!A196)</f>
        <v>30001</v>
      </c>
      <c r="B196" t="str">
        <f>IF(Sheet1!U196="", "", IF(Sheet1!U196="HEAVY","SERIOUS","LIGHT"))</f>
        <v>SERIOUS</v>
      </c>
      <c r="C196" t="str">
        <f>IF(Sheet1!C196="","",Sheet1!C196)</f>
        <v>UT_MAIN_PCRACK_TEMPERATURE_1_N_OVER40</v>
      </c>
      <c r="D196" t="s">
        <v>87</v>
      </c>
      <c r="E196" t="str">
        <f t="shared" si="3"/>
        <v>TRUE</v>
      </c>
    </row>
    <row r="197" spans="1:5" x14ac:dyDescent="0.3">
      <c r="A197">
        <f>IF(Sheet1!A197="", "", Sheet1!A197)</f>
        <v>30002</v>
      </c>
      <c r="B197" t="str">
        <f>IF(Sheet1!U197="", "", IF(Sheet1!U197="HEAVY","SERIOUS","LIGHT"))</f>
        <v>SERIOUS</v>
      </c>
      <c r="C197" t="str">
        <f>IF(Sheet1!C197="","",Sheet1!C197)</f>
        <v>UT_MAIN_ELECTRONICBOX_SMOKE_SENSOR_1_N_DETECTED</v>
      </c>
      <c r="D197" t="s">
        <v>87</v>
      </c>
      <c r="E197" t="str">
        <f t="shared" si="3"/>
        <v>TRUE</v>
      </c>
    </row>
    <row r="198" spans="1:5" x14ac:dyDescent="0.3">
      <c r="A198">
        <f>IF(Sheet1!A198="", "", Sheet1!A198)</f>
        <v>30003</v>
      </c>
      <c r="B198" t="str">
        <f>IF(Sheet1!U198="", "", IF(Sheet1!U198="HEAVY","SERIOUS","LIGHT"))</f>
        <v>SERIOUS</v>
      </c>
      <c r="C198" t="str">
        <f>IF(Sheet1!C198="","",Sheet1!C198)</f>
        <v>UT_MAIN_SAFETYPLC_GPS_MC_POWER_OFF</v>
      </c>
      <c r="D198" t="s">
        <v>87</v>
      </c>
      <c r="E198" t="str">
        <f t="shared" si="3"/>
        <v>TRUE</v>
      </c>
    </row>
    <row r="199" spans="1:5" x14ac:dyDescent="0.3">
      <c r="A199">
        <f>IF(Sheet1!A199="", "", Sheet1!A199)</f>
        <v>30004</v>
      </c>
      <c r="B199" t="str">
        <f>IF(Sheet1!U199="", "", IF(Sheet1!U199="HEAVY","SERIOUS","LIGHT"))</f>
        <v>SERIOUS</v>
      </c>
      <c r="C199" t="str">
        <f>IF(Sheet1!C199="","",Sheet1!C199)</f>
        <v>CO_MAIN_DEVICE_MCU_DISCONNECTED</v>
      </c>
      <c r="D199" t="s">
        <v>87</v>
      </c>
      <c r="E199" t="str">
        <f t="shared" si="3"/>
        <v>TRUE</v>
      </c>
    </row>
    <row r="200" spans="1:5" x14ac:dyDescent="0.3">
      <c r="A200">
        <f>IF(Sheet1!A200="", "", Sheet1!A200)</f>
        <v>30005</v>
      </c>
      <c r="B200" t="str">
        <f>IF(Sheet1!U200="", "", IF(Sheet1!U200="HEAVY","SERIOUS","LIGHT"))</f>
        <v>SERIOUS</v>
      </c>
      <c r="C200" t="str">
        <f>IF(Sheet1!C200="","",Sheet1!C200)</f>
        <v>CO_MAIN_DEVICE_GMS_DISCONNECTED</v>
      </c>
      <c r="D200" t="s">
        <v>87</v>
      </c>
      <c r="E200" t="str">
        <f t="shared" si="3"/>
        <v>TRUE</v>
      </c>
    </row>
    <row r="201" spans="1:5" x14ac:dyDescent="0.3">
      <c r="A201">
        <f>IF(Sheet1!A201="", "", Sheet1!A201)</f>
        <v>30006</v>
      </c>
      <c r="B201" t="str">
        <f>IF(Sheet1!U201="", "", IF(Sheet1!U201="HEAVY","SERIOUS","LIGHT"))</f>
        <v>SERIOUS</v>
      </c>
      <c r="C201" t="str">
        <f>IF(Sheet1!C201="","",Sheet1!C201)</f>
        <v>CO_MAIN_ELECTRONICBOX_TEMPERATURE_DISCONNECTED</v>
      </c>
      <c r="D201" t="s">
        <v>87</v>
      </c>
      <c r="E201" t="str">
        <f t="shared" si="3"/>
        <v>TRUE</v>
      </c>
    </row>
    <row r="202" spans="1:5" x14ac:dyDescent="0.3">
      <c r="A202">
        <f>IF(Sheet1!A202="", "", Sheet1!A202)</f>
        <v>30007</v>
      </c>
      <c r="B202" t="str">
        <f>IF(Sheet1!U202="", "", IF(Sheet1!U202="HEAVY","SERIOUS","LIGHT"))</f>
        <v>SERIOUS</v>
      </c>
      <c r="C202" t="str">
        <f>IF(Sheet1!C202="","",Sheet1!C202)</f>
        <v>CO_MAIN_PCRACK_TEMPERATURE_DISCONNECTED</v>
      </c>
      <c r="D202" t="s">
        <v>87</v>
      </c>
      <c r="E202" t="str">
        <f t="shared" si="3"/>
        <v>TRUE</v>
      </c>
    </row>
    <row r="203" spans="1:5" x14ac:dyDescent="0.3">
      <c r="A203">
        <f>IF(Sheet1!A203="", "", Sheet1!A203)</f>
        <v>30008</v>
      </c>
      <c r="B203" t="str">
        <f>IF(Sheet1!U203="", "", IF(Sheet1!U203="HEAVY","SERIOUS","LIGHT"))</f>
        <v>SERIOUS</v>
      </c>
      <c r="C203" t="str">
        <f>IF(Sheet1!C203="","",Sheet1!C203)</f>
        <v>OP_MAIN_MODEKEY_N_TEACH</v>
      </c>
      <c r="D203" t="s">
        <v>87</v>
      </c>
      <c r="E203" t="str">
        <f t="shared" si="3"/>
        <v>TRUE</v>
      </c>
    </row>
    <row r="204" spans="1:5" x14ac:dyDescent="0.3">
      <c r="A204">
        <f>IF(Sheet1!A204="", "", Sheet1!A204)</f>
        <v>30009</v>
      </c>
      <c r="B204" t="str">
        <f>IF(Sheet1!U204="", "", IF(Sheet1!U204="HEAVY","SERIOUS","LIGHT"))</f>
        <v>SERIOUS</v>
      </c>
      <c r="C204" t="str">
        <f>IF(Sheet1!C204="","",Sheet1!C204)</f>
        <v>OP_MAIN_UNIT_ALL_STOP</v>
      </c>
      <c r="D204" t="s">
        <v>87</v>
      </c>
      <c r="E204" t="str">
        <f t="shared" si="3"/>
        <v>TRUE</v>
      </c>
    </row>
    <row r="205" spans="1:5" x14ac:dyDescent="0.3">
      <c r="A205">
        <f>IF(Sheet1!A205="", "", Sheet1!A205)</f>
        <v>30010</v>
      </c>
      <c r="B205" t="str">
        <f>IF(Sheet1!U205="", "", IF(Sheet1!U205="HEAVY","SERIOUS","LIGHT"))</f>
        <v>SERIOUS</v>
      </c>
      <c r="C205" t="str">
        <f>IF(Sheet1!C205="","",Sheet1!C205)</f>
        <v>VC_MAIN_VACUUM_MAIN_SUPPLY</v>
      </c>
      <c r="D205" t="s">
        <v>87</v>
      </c>
      <c r="E205" t="str">
        <f t="shared" si="3"/>
        <v>TRUE</v>
      </c>
    </row>
    <row r="206" spans="1:5" x14ac:dyDescent="0.3">
      <c r="A206">
        <f>IF(Sheet1!A206="", "", Sheet1!A206)</f>
        <v>30011</v>
      </c>
      <c r="B206" t="str">
        <f>IF(Sheet1!U206="", "", IF(Sheet1!U206="HEAVY","SERIOUS","LIGHT"))</f>
        <v>SERIOUS</v>
      </c>
      <c r="C206" t="str">
        <f>IF(Sheet1!C206="","",Sheet1!C206)</f>
        <v>VC_INSP_STAGE_VACUUM_MAIN_SUPPLY</v>
      </c>
      <c r="D206" t="s">
        <v>87</v>
      </c>
      <c r="E206" t="str">
        <f t="shared" si="3"/>
        <v>TRUE</v>
      </c>
    </row>
    <row r="207" spans="1:5" x14ac:dyDescent="0.3">
      <c r="A207">
        <f>IF(Sheet1!A207="", "", Sheet1!A207)</f>
        <v>30012</v>
      </c>
      <c r="B207" t="str">
        <f>IF(Sheet1!U207="", "", IF(Sheet1!U207="HEAVY","SERIOUS","LIGHT"))</f>
        <v>SERIOUS</v>
      </c>
      <c r="C207" t="str">
        <f>IF(Sheet1!C207="","",Sheet1!C207)</f>
        <v>VC_MAIN_AIR_MAIN_N_SUPPLY</v>
      </c>
      <c r="D207" t="s">
        <v>87</v>
      </c>
      <c r="E207" t="str">
        <f t="shared" si="3"/>
        <v>TRUE</v>
      </c>
    </row>
    <row r="208" spans="1:5" x14ac:dyDescent="0.3">
      <c r="A208">
        <f>IF(Sheet1!A208="", "", Sheet1!A208)</f>
        <v>30013</v>
      </c>
      <c r="B208" t="str">
        <f>IF(Sheet1!U208="", "", IF(Sheet1!U208="HEAVY","SERIOUS","LIGHT"))</f>
        <v>LIGHT</v>
      </c>
      <c r="C208" t="str">
        <f>IF(Sheet1!C208="","",Sheet1!C208)</f>
        <v>UT_MAIN_ELECTRONICBOX_FAN_1_STOP</v>
      </c>
      <c r="D208" t="s">
        <v>87</v>
      </c>
      <c r="E208" t="str">
        <f t="shared" si="3"/>
        <v>TRUE</v>
      </c>
    </row>
    <row r="209" spans="1:5" x14ac:dyDescent="0.3">
      <c r="A209">
        <f>IF(Sheet1!A209="", "", Sheet1!A209)</f>
        <v>30014</v>
      </c>
      <c r="B209" t="str">
        <f>IF(Sheet1!U209="", "", IF(Sheet1!U209="HEAVY","SERIOUS","LIGHT"))</f>
        <v>LIGHT</v>
      </c>
      <c r="C209" t="str">
        <f>IF(Sheet1!C209="","",Sheet1!C209)</f>
        <v>UT_MAIN_ELECTRONICBOX_FAN_2_STOP</v>
      </c>
      <c r="D209" t="s">
        <v>87</v>
      </c>
      <c r="E209" t="str">
        <f t="shared" si="3"/>
        <v>TRUE</v>
      </c>
    </row>
    <row r="210" spans="1:5" x14ac:dyDescent="0.3">
      <c r="A210">
        <f>IF(Sheet1!A210="", "", Sheet1!A210)</f>
        <v>30015</v>
      </c>
      <c r="B210" t="str">
        <f>IF(Sheet1!U210="", "", IF(Sheet1!U210="HEAVY","SERIOUS","LIGHT"))</f>
        <v>LIGHT</v>
      </c>
      <c r="C210" t="str">
        <f>IF(Sheet1!C210="","",Sheet1!C210)</f>
        <v>UT_MAIN_MCU_FFU_1_STOP</v>
      </c>
      <c r="D210" t="s">
        <v>87</v>
      </c>
      <c r="E210" t="str">
        <f t="shared" si="3"/>
        <v>TRUE</v>
      </c>
    </row>
    <row r="211" spans="1:5" x14ac:dyDescent="0.3">
      <c r="A211">
        <f>IF(Sheet1!A211="", "", Sheet1!A211)</f>
        <v>30016</v>
      </c>
      <c r="B211" t="str">
        <f>IF(Sheet1!U211="", "", IF(Sheet1!U211="HEAVY","SERIOUS","LIGHT"))</f>
        <v>LIGHT</v>
      </c>
      <c r="C211" t="str">
        <f>IF(Sheet1!C211="","",Sheet1!C211)</f>
        <v>UT_MAIN_MCU_FFU_1_ALARM_OCCURRED</v>
      </c>
      <c r="D211" t="s">
        <v>87</v>
      </c>
      <c r="E211" t="str">
        <f t="shared" si="3"/>
        <v>TRUE</v>
      </c>
    </row>
    <row r="212" spans="1:5" x14ac:dyDescent="0.3">
      <c r="A212">
        <f>IF(Sheet1!A212="", "", Sheet1!A212)</f>
        <v>30100</v>
      </c>
      <c r="B212" t="str">
        <f>IF(Sheet1!U212="", "", IF(Sheet1!U212="HEAVY","SERIOUS","LIGHT"))</f>
        <v>SERIOUS</v>
      </c>
      <c r="C212" t="str">
        <f>IF(Sheet1!C212="","",Sheet1!C212)</f>
        <v>EM_MAIN_CONTROLPANEL_FRONT_EMS_X000</v>
      </c>
      <c r="D212" t="s">
        <v>87</v>
      </c>
      <c r="E212" t="str">
        <f t="shared" si="3"/>
        <v>TRUE</v>
      </c>
    </row>
    <row r="213" spans="1:5" x14ac:dyDescent="0.3">
      <c r="A213">
        <f>IF(Sheet1!A213="", "", Sheet1!A213)</f>
        <v>30101</v>
      </c>
      <c r="B213" t="str">
        <f>IF(Sheet1!U213="", "", IF(Sheet1!U213="HEAVY","SERIOUS","LIGHT"))</f>
        <v>SERIOUS</v>
      </c>
      <c r="C213" t="str">
        <f>IF(Sheet1!C213="","",Sheet1!C213)</f>
        <v>EM_MAIN_CONTROLPANEL_REAR_EMS_X001</v>
      </c>
      <c r="D213" t="s">
        <v>87</v>
      </c>
      <c r="E213" t="str">
        <f t="shared" si="3"/>
        <v>TRUE</v>
      </c>
    </row>
    <row r="214" spans="1:5" x14ac:dyDescent="0.3">
      <c r="A214">
        <f>IF(Sheet1!A214="", "", Sheet1!A214)</f>
        <v>30102</v>
      </c>
      <c r="B214" t="str">
        <f>IF(Sheet1!U214="", "", IF(Sheet1!U214="HEAVY","SERIOUS","LIGHT"))</f>
        <v>SERIOUS</v>
      </c>
      <c r="C214" t="str">
        <f>IF(Sheet1!C214="","",Sheet1!C214)</f>
        <v>EM_TRANSFER_ROBOT_IN_PENDANT_EMS</v>
      </c>
      <c r="D214" t="s">
        <v>87</v>
      </c>
      <c r="E214" t="str">
        <f t="shared" si="3"/>
        <v>TRUE</v>
      </c>
    </row>
    <row r="215" spans="1:5" x14ac:dyDescent="0.3">
      <c r="A215">
        <f>IF(Sheet1!A215="", "", Sheet1!A215)</f>
        <v>30103</v>
      </c>
      <c r="B215" t="str">
        <f>IF(Sheet1!U215="", "", IF(Sheet1!U215="HEAVY","SERIOUS","LIGHT"))</f>
        <v>SERIOUS</v>
      </c>
      <c r="C215" t="str">
        <f>IF(Sheet1!C215="","",Sheet1!C215)</f>
        <v>EM_TRANSFER_ROBOT_IN_CONTROLLER_EMS</v>
      </c>
      <c r="D215" t="s">
        <v>87</v>
      </c>
      <c r="E215" t="str">
        <f t="shared" si="3"/>
        <v>TRUE</v>
      </c>
    </row>
    <row r="216" spans="1:5" x14ac:dyDescent="0.3">
      <c r="A216">
        <f>IF(Sheet1!A216="", "", Sheet1!A216)</f>
        <v>30104</v>
      </c>
      <c r="B216" t="str">
        <f>IF(Sheet1!U216="", "", IF(Sheet1!U216="HEAVY","SERIOUS","LIGHT"))</f>
        <v>SERIOUS</v>
      </c>
      <c r="C216" t="str">
        <f>IF(Sheet1!C216="","",Sheet1!C216)</f>
        <v>EM_TRANSFER_ROBOT_OUT_PENDANT_EMS</v>
      </c>
      <c r="D216" t="s">
        <v>87</v>
      </c>
      <c r="E216" t="str">
        <f t="shared" si="3"/>
        <v>TRUE</v>
      </c>
    </row>
    <row r="217" spans="1:5" x14ac:dyDescent="0.3">
      <c r="A217">
        <f>IF(Sheet1!A217="", "", Sheet1!A217)</f>
        <v>30105</v>
      </c>
      <c r="B217" t="str">
        <f>IF(Sheet1!U217="", "", IF(Sheet1!U217="HEAVY","SERIOUS","LIGHT"))</f>
        <v>SERIOUS</v>
      </c>
      <c r="C217" t="str">
        <f>IF(Sheet1!C217="","",Sheet1!C217)</f>
        <v>EM_TRANSFER_ROBOT_OUT_CONTROLLER_EMS</v>
      </c>
      <c r="D217" t="s">
        <v>87</v>
      </c>
      <c r="E217" t="str">
        <f t="shared" si="3"/>
        <v>TRUE</v>
      </c>
    </row>
    <row r="218" spans="1:5" x14ac:dyDescent="0.3">
      <c r="A218">
        <f>IF(Sheet1!A218="", "", Sheet1!A218)</f>
        <v>30106</v>
      </c>
      <c r="B218" t="str">
        <f>IF(Sheet1!U218="", "", IF(Sheet1!U218="HEAVY","SERIOUS","LIGHT"))</f>
        <v>SERIOUS</v>
      </c>
      <c r="C218" t="str">
        <f>IF(Sheet1!C218="","",Sheet1!C218)</f>
        <v>DO_MAIN_ANY_DOOR_FORECE_RELEASED_X02A</v>
      </c>
      <c r="D218" t="s">
        <v>87</v>
      </c>
      <c r="E218" t="str">
        <f t="shared" si="3"/>
        <v>TRUE</v>
      </c>
    </row>
    <row r="219" spans="1:5" x14ac:dyDescent="0.3">
      <c r="A219">
        <f>IF(Sheet1!A219="", "", Sheet1!A219)</f>
        <v>40000</v>
      </c>
      <c r="B219" t="str">
        <f>IF(Sheet1!U219="", "", IF(Sheet1!U219="HEAVY","SERIOUS","LIGHT"))</f>
        <v>SERIOUS</v>
      </c>
      <c r="C219" t="str">
        <f>IF(Sheet1!C219="","",Sheet1!C219)</f>
        <v>EF_PREFORM4_MAIN_EQUIPMENT_SILENT_STOP</v>
      </c>
      <c r="D219" t="s">
        <v>87</v>
      </c>
      <c r="E219" t="str">
        <f t="shared" si="3"/>
        <v>TRUE</v>
      </c>
    </row>
    <row r="220" spans="1:5" x14ac:dyDescent="0.3">
      <c r="A220">
        <f>IF(Sheet1!A220="", "", Sheet1!A220)</f>
        <v>40001</v>
      </c>
      <c r="B220" t="str">
        <f>IF(Sheet1!U220="", "", IF(Sheet1!U220="HEAVY","SERIOUS","LIGHT"))</f>
        <v>LIGHT</v>
      </c>
      <c r="C220" t="str">
        <f>IF(Sheet1!C220="","",Sheet1!C220)</f>
        <v>EF_IN_SHUTTLE_CELL_DAMAGED_CHECK</v>
      </c>
      <c r="D220" t="s">
        <v>87</v>
      </c>
      <c r="E220" t="str">
        <f t="shared" si="3"/>
        <v>TRUE</v>
      </c>
    </row>
    <row r="221" spans="1:5" x14ac:dyDescent="0.3">
      <c r="A221">
        <f>IF(Sheet1!A221="", "", Sheet1!A221)</f>
        <v>40002</v>
      </c>
      <c r="B221" t="str">
        <f>IF(Sheet1!U221="", "", IF(Sheet1!U221="HEAVY","SERIOUS","LIGHT"))</f>
        <v>LIGHT</v>
      </c>
      <c r="C221" t="str">
        <f>IF(Sheet1!C221="","",Sheet1!C221)</f>
        <v>EF_IN_ROBOT_CELL_DAMAGED_CHECK</v>
      </c>
      <c r="D221" t="s">
        <v>87</v>
      </c>
      <c r="E221" t="str">
        <f t="shared" si="3"/>
        <v>TRUE</v>
      </c>
    </row>
    <row r="222" spans="1:5" x14ac:dyDescent="0.3">
      <c r="A222">
        <f>IF(Sheet1!A222="", "", Sheet1!A222)</f>
        <v>40003</v>
      </c>
      <c r="B222" t="str">
        <f>IF(Sheet1!U222="", "", IF(Sheet1!U222="HEAVY","SERIOUS","LIGHT"))</f>
        <v>LIGHT</v>
      </c>
      <c r="C222" t="str">
        <f>IF(Sheet1!C222="","",Sheet1!C222)</f>
        <v>EF_INSP_STAGE_CELL_DAMAGED_CHECK</v>
      </c>
      <c r="D222" t="s">
        <v>87</v>
      </c>
      <c r="E222" t="str">
        <f t="shared" si="3"/>
        <v>TRUE</v>
      </c>
    </row>
    <row r="223" spans="1:5" x14ac:dyDescent="0.3">
      <c r="A223">
        <f>IF(Sheet1!A223="", "", Sheet1!A223)</f>
        <v>40004</v>
      </c>
      <c r="B223" t="str">
        <f>IF(Sheet1!U223="", "", IF(Sheet1!U223="HEAVY","SERIOUS","LIGHT"))</f>
        <v>LIGHT</v>
      </c>
      <c r="C223" t="str">
        <f>IF(Sheet1!C223="","",Sheet1!C223)</f>
        <v>EF_OUT_ROBOT_CELL_DAMAGED_CHECK</v>
      </c>
      <c r="D223" t="s">
        <v>87</v>
      </c>
      <c r="E223" t="str">
        <f t="shared" si="3"/>
        <v>TRUE</v>
      </c>
    </row>
    <row r="224" spans="1:5" x14ac:dyDescent="0.3">
      <c r="A224">
        <f>IF(Sheet1!A224="", "", Sheet1!A224)</f>
        <v>40005</v>
      </c>
      <c r="B224" t="str">
        <f>IF(Sheet1!U224="", "", IF(Sheet1!U224="HEAVY","SERIOUS","LIGHT"))</f>
        <v>LIGHT</v>
      </c>
      <c r="C224" t="str">
        <f>IF(Sheet1!C224="","",Sheet1!C224)</f>
        <v>EF_OUT_FLIP_CELL_DAMAGED_CHECK</v>
      </c>
      <c r="D224" t="s">
        <v>87</v>
      </c>
      <c r="E224" t="str">
        <f t="shared" si="3"/>
        <v>TRUE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zoomScaleNormal="100" workbookViewId="0">
      <pane ySplit="1" topLeftCell="A2" activePane="bottomLeft" state="frozen"/>
      <selection pane="bottomLeft" activeCell="C12" sqref="C12"/>
    </sheetView>
  </sheetViews>
  <sheetFormatPr defaultRowHeight="16.5" x14ac:dyDescent="0.3"/>
  <cols>
    <col min="3" max="3" width="68" bestFit="1" customWidth="1"/>
  </cols>
  <sheetData>
    <row r="1" spans="1:3" x14ac:dyDescent="0.3">
      <c r="A1" t="s">
        <v>88</v>
      </c>
      <c r="B1" t="s">
        <v>89</v>
      </c>
      <c r="C1" t="s">
        <v>90</v>
      </c>
    </row>
    <row r="2" spans="1:3" x14ac:dyDescent="0.3">
      <c r="A2">
        <f>IF(Sheet1!A2="", "", Sheet1!A2)</f>
        <v>10000</v>
      </c>
      <c r="B2" t="str">
        <f>IF(Sheet1!U2="", "", IF(Sheet1!U2="HEAVY","2","1"))</f>
        <v>2</v>
      </c>
      <c r="C2" t="str">
        <f>IF(Sheet1!C2="","",Sheet1!C2)</f>
        <v>EM_UPPER_EQUIPMENT_N_EMERGENCY_STATE</v>
      </c>
    </row>
    <row r="3" spans="1:3" x14ac:dyDescent="0.3">
      <c r="A3">
        <f>IF(Sheet1!A3="", "", Sheet1!A3)</f>
        <v>10001</v>
      </c>
      <c r="B3" t="str">
        <f>IF(Sheet1!U3="", "", IF(Sheet1!U3="HEAVY","2","1"))</f>
        <v>1</v>
      </c>
      <c r="C3" t="str">
        <f>IF(Sheet1!C3="","",Sheet1!C3)</f>
        <v>EM_UPPER_EQUIPMENT_DOOR_OPEN</v>
      </c>
    </row>
    <row r="4" spans="1:3" x14ac:dyDescent="0.3">
      <c r="A4">
        <f>IF(Sheet1!A4="", "", Sheet1!A4)</f>
        <v>10500</v>
      </c>
      <c r="B4" t="str">
        <f>IF(Sheet1!U4="", "", IF(Sheet1!U4="HEAVY","2","1"))</f>
        <v>2</v>
      </c>
      <c r="C4" t="str">
        <f>IF(Sheet1!C4="","",Sheet1!C4)</f>
        <v>MO_IN_SHUTTLE_X1_HOME_MOTION</v>
      </c>
    </row>
    <row r="5" spans="1:3" x14ac:dyDescent="0.3">
      <c r="A5">
        <f>IF(Sheet1!A5="", "", Sheet1!A5)</f>
        <v>10501</v>
      </c>
      <c r="B5" t="str">
        <f>IF(Sheet1!U5="", "", IF(Sheet1!U5="HEAVY","2","1"))</f>
        <v>2</v>
      </c>
      <c r="C5" t="str">
        <f>IF(Sheet1!C5="","",Sheet1!C5)</f>
        <v>MO_IN_SHUTTLE_X1_LOAD_MOVE</v>
      </c>
    </row>
    <row r="6" spans="1:3" x14ac:dyDescent="0.3">
      <c r="A6">
        <f>IF(Sheet1!A6="", "", Sheet1!A6)</f>
        <v>10502</v>
      </c>
      <c r="B6" t="str">
        <f>IF(Sheet1!U6="", "", IF(Sheet1!U6="HEAVY","2","1"))</f>
        <v>2</v>
      </c>
      <c r="C6" t="str">
        <f>IF(Sheet1!C6="","",Sheet1!C6)</f>
        <v>MO_IN_SHUTTLE_X1_SCAN_START_WAIT_MOVE</v>
      </c>
    </row>
    <row r="7" spans="1:3" x14ac:dyDescent="0.3">
      <c r="A7">
        <f>IF(Sheet1!A7="", "", Sheet1!A7)</f>
        <v>10503</v>
      </c>
      <c r="B7" t="str">
        <f>IF(Sheet1!U7="", "", IF(Sheet1!U7="HEAVY","2","1"))</f>
        <v>2</v>
      </c>
      <c r="C7" t="str">
        <f>IF(Sheet1!C7="","",Sheet1!C7)</f>
        <v>MO_IN_SHUTTLE_X1_SCAN_TRIGGER_START_MOVE</v>
      </c>
    </row>
    <row r="8" spans="1:3" x14ac:dyDescent="0.3">
      <c r="A8">
        <f>IF(Sheet1!A8="", "", Sheet1!A8)</f>
        <v>10504</v>
      </c>
      <c r="B8" t="str">
        <f>IF(Sheet1!U8="", "", IF(Sheet1!U8="HEAVY","2","1"))</f>
        <v>2</v>
      </c>
      <c r="C8" t="str">
        <f>IF(Sheet1!C8="","",Sheet1!C8)</f>
        <v>MO_IN_SHUTTLE_X1_SCAN_TRIGGER_END_MOVE</v>
      </c>
    </row>
    <row r="9" spans="1:3" x14ac:dyDescent="0.3">
      <c r="A9">
        <f>IF(Sheet1!A9="", "", Sheet1!A9)</f>
        <v>10505</v>
      </c>
      <c r="B9" t="str">
        <f>IF(Sheet1!U9="", "", IF(Sheet1!U9="HEAVY","2","1"))</f>
        <v>2</v>
      </c>
      <c r="C9" t="str">
        <f>IF(Sheet1!C9="","",Sheet1!C9)</f>
        <v>MO_IN_SHUTTLE_X1_ALIGN_MOVE</v>
      </c>
    </row>
    <row r="10" spans="1:3" x14ac:dyDescent="0.3">
      <c r="A10">
        <f>IF(Sheet1!A10="", "", Sheet1!A10)</f>
        <v>10506</v>
      </c>
      <c r="B10" t="str">
        <f>IF(Sheet1!U10="", "", IF(Sheet1!U10="HEAVY","2","1"))</f>
        <v>2</v>
      </c>
      <c r="C10" t="str">
        <f>IF(Sheet1!C10="","",Sheet1!C10)</f>
        <v>MO_IN_SHUTTLE_X1_UNLOAD_MOVE</v>
      </c>
    </row>
    <row r="11" spans="1:3" x14ac:dyDescent="0.3">
      <c r="A11">
        <f>IF(Sheet1!A11="", "", Sheet1!A11)</f>
        <v>10600</v>
      </c>
      <c r="B11" t="str">
        <f>IF(Sheet1!U11="", "", IF(Sheet1!U11="HEAVY","2","1"))</f>
        <v>2</v>
      </c>
      <c r="C11" t="str">
        <f>IF(Sheet1!C11="","",Sheet1!C11)</f>
        <v>VC_IN_SHUTTLE_P1_VACUUM</v>
      </c>
    </row>
    <row r="12" spans="1:3" x14ac:dyDescent="0.3">
      <c r="A12">
        <f>IF(Sheet1!A12="", "", Sheet1!A12)</f>
        <v>10601</v>
      </c>
      <c r="B12" t="str">
        <f>IF(Sheet1!U12="", "", IF(Sheet1!U12="HEAVY","2","1"))</f>
        <v>2</v>
      </c>
      <c r="C12" t="str">
        <f>IF(Sheet1!C12="","",Sheet1!C12)</f>
        <v>VC_IN_SHUTTLE_P1_BLOW</v>
      </c>
    </row>
    <row r="13" spans="1:3" x14ac:dyDescent="0.3">
      <c r="A13">
        <f>IF(Sheet1!A13="", "", Sheet1!A13)</f>
        <v>10602</v>
      </c>
      <c r="B13" t="str">
        <f>IF(Sheet1!U13="", "", IF(Sheet1!U13="HEAVY","2","1"))</f>
        <v>2</v>
      </c>
      <c r="C13" t="str">
        <f>IF(Sheet1!C13="","",Sheet1!C13)</f>
        <v>SE_IN_SHUTTLE_P1_VACUUM_CHECK</v>
      </c>
    </row>
    <row r="14" spans="1:3" x14ac:dyDescent="0.3">
      <c r="A14">
        <f>IF(Sheet1!A14="", "", Sheet1!A14)</f>
        <v>10603</v>
      </c>
      <c r="B14" t="str">
        <f>IF(Sheet1!U14="", "", IF(Sheet1!U14="HEAVY","2","1"))</f>
        <v>2</v>
      </c>
      <c r="C14" t="str">
        <f>IF(Sheet1!C14="","",Sheet1!C14)</f>
        <v>SE_IN_SHUTTLE_P1_SENSOR_CHECK</v>
      </c>
    </row>
    <row r="15" spans="1:3" x14ac:dyDescent="0.3">
      <c r="A15">
        <f>IF(Sheet1!A15="", "", Sheet1!A15)</f>
        <v>10604</v>
      </c>
      <c r="B15" t="str">
        <f>IF(Sheet1!U15="", "", IF(Sheet1!U15="HEAVY","2","1"))</f>
        <v>2</v>
      </c>
      <c r="C15" t="str">
        <f>IF(Sheet1!C15="","",Sheet1!C15)</f>
        <v>SE_IN_SHUTTLE_P1_VACUUM_OVERLAP</v>
      </c>
    </row>
    <row r="16" spans="1:3" x14ac:dyDescent="0.3">
      <c r="A16">
        <f>IF(Sheet1!A16="", "", Sheet1!A16)</f>
        <v>10605</v>
      </c>
      <c r="B16" t="str">
        <f>IF(Sheet1!U16="", "", IF(Sheet1!U16="HEAVY","2","1"))</f>
        <v>2</v>
      </c>
      <c r="C16" t="str">
        <f>IF(Sheet1!C16="","",Sheet1!C16)</f>
        <v>SE_IN_SHUTTLE_P1_SENSOR_OVERLAP</v>
      </c>
    </row>
    <row r="17" spans="1:3" x14ac:dyDescent="0.3">
      <c r="A17">
        <f>IF(Sheet1!A17="", "", Sheet1!A17)</f>
        <v>10610</v>
      </c>
      <c r="B17" t="str">
        <f>IF(Sheet1!U17="", "", IF(Sheet1!U17="HEAVY","2","1"))</f>
        <v>2</v>
      </c>
      <c r="C17" t="str">
        <f>IF(Sheet1!C17="","",Sheet1!C17)</f>
        <v>VC_IN_SHUTTLE_P2_VACUUM</v>
      </c>
    </row>
    <row r="18" spans="1:3" x14ac:dyDescent="0.3">
      <c r="A18">
        <f>IF(Sheet1!A18="", "", Sheet1!A18)</f>
        <v>10611</v>
      </c>
      <c r="B18" t="str">
        <f>IF(Sheet1!U18="", "", IF(Sheet1!U18="HEAVY","2","1"))</f>
        <v>2</v>
      </c>
      <c r="C18" t="str">
        <f>IF(Sheet1!C18="","",Sheet1!C18)</f>
        <v>VC_IN_SHUTTLE_P2_BLOW</v>
      </c>
    </row>
    <row r="19" spans="1:3" x14ac:dyDescent="0.3">
      <c r="A19">
        <f>IF(Sheet1!A19="", "", Sheet1!A19)</f>
        <v>10612</v>
      </c>
      <c r="B19" t="str">
        <f>IF(Sheet1!U19="", "", IF(Sheet1!U19="HEAVY","2","1"))</f>
        <v>2</v>
      </c>
      <c r="C19" t="str">
        <f>IF(Sheet1!C19="","",Sheet1!C19)</f>
        <v>SE_IN_SHUTTLE_P2_VACUUM_CHECK</v>
      </c>
    </row>
    <row r="20" spans="1:3" x14ac:dyDescent="0.3">
      <c r="A20">
        <f>IF(Sheet1!A20="", "", Sheet1!A20)</f>
        <v>10613</v>
      </c>
      <c r="B20" t="str">
        <f>IF(Sheet1!U20="", "", IF(Sheet1!U20="HEAVY","2","1"))</f>
        <v>2</v>
      </c>
      <c r="C20" t="str">
        <f>IF(Sheet1!C20="","",Sheet1!C20)</f>
        <v>SE_IN_SHUTTLE_P2_SENSOR_CHECK</v>
      </c>
    </row>
    <row r="21" spans="1:3" x14ac:dyDescent="0.3">
      <c r="A21">
        <f>IF(Sheet1!A21="", "", Sheet1!A21)</f>
        <v>10614</v>
      </c>
      <c r="B21" t="str">
        <f>IF(Sheet1!U21="", "", IF(Sheet1!U21="HEAVY","2","1"))</f>
        <v>2</v>
      </c>
      <c r="C21" t="str">
        <f>IF(Sheet1!C21="","",Sheet1!C21)</f>
        <v>SE_IN_SHUTTLE_P2_VACUUM_OVERLAP</v>
      </c>
    </row>
    <row r="22" spans="1:3" x14ac:dyDescent="0.3">
      <c r="A22">
        <f>IF(Sheet1!A22="", "", Sheet1!A22)</f>
        <v>10615</v>
      </c>
      <c r="B22" t="str">
        <f>IF(Sheet1!U22="", "", IF(Sheet1!U22="HEAVY","2","1"))</f>
        <v>2</v>
      </c>
      <c r="C22" t="str">
        <f>IF(Sheet1!C22="","",Sheet1!C22)</f>
        <v>SE_IN_SHUTTLE_P2_SENSOR_OVERLAP</v>
      </c>
    </row>
    <row r="23" spans="1:3" x14ac:dyDescent="0.3">
      <c r="A23">
        <f>IF(Sheet1!A23="", "", Sheet1!A23)</f>
        <v>11000</v>
      </c>
      <c r="B23" t="str">
        <f>IF(Sheet1!U23="", "", IF(Sheet1!U23="HEAVY","2","1"))</f>
        <v>2</v>
      </c>
      <c r="C23" t="str">
        <f>IF(Sheet1!C23="","",Sheet1!C23)</f>
        <v>MO_TRANSFER_ROBOT_IN_N_INITIALIZE</v>
      </c>
    </row>
    <row r="24" spans="1:3" x14ac:dyDescent="0.3">
      <c r="A24">
        <f>IF(Sheet1!A24="", "", Sheet1!A24)</f>
        <v>11001</v>
      </c>
      <c r="B24" t="str">
        <f>IF(Sheet1!U24="", "", IF(Sheet1!U24="HEAVY","2","1"))</f>
        <v>2</v>
      </c>
      <c r="C24" t="str">
        <f>IF(Sheet1!C24="","",Sheet1!C24)</f>
        <v>MO_TRANSFER_ROBOT_IN_PROCESS_SKIP</v>
      </c>
    </row>
    <row r="25" spans="1:3" x14ac:dyDescent="0.3">
      <c r="A25">
        <f>IF(Sheet1!A25="", "", Sheet1!A25)</f>
        <v>11002</v>
      </c>
      <c r="B25" t="str">
        <f>IF(Sheet1!U25="", "", IF(Sheet1!U25="HEAVY","2","1"))</f>
        <v>2</v>
      </c>
      <c r="C25" t="str">
        <f>IF(Sheet1!C25="","",Sheet1!C25)</f>
        <v>MO_TRANSFER_ROBOT_IN_ENTER_JCM_MODE</v>
      </c>
    </row>
    <row r="26" spans="1:3" x14ac:dyDescent="0.3">
      <c r="A26">
        <f>IF(Sheet1!A26="", "", Sheet1!A26)</f>
        <v>11003</v>
      </c>
      <c r="B26" t="str">
        <f>IF(Sheet1!U26="", "", IF(Sheet1!U26="HEAVY","2","1"))</f>
        <v>2</v>
      </c>
      <c r="C26" t="str">
        <f>IF(Sheet1!C26="","",Sheet1!C26)</f>
        <v>MO_TRANSFER_ROBOT_IN_JCM_MODE_MOVE</v>
      </c>
    </row>
    <row r="27" spans="1:3" x14ac:dyDescent="0.3">
      <c r="A27">
        <f>IF(Sheet1!A27="", "", Sheet1!A27)</f>
        <v>11004</v>
      </c>
      <c r="B27" t="str">
        <f>IF(Sheet1!U27="", "", IF(Sheet1!U27="HEAVY","2","1"))</f>
        <v>2</v>
      </c>
      <c r="C27" t="str">
        <f>IF(Sheet1!C27="","",Sheet1!C27)</f>
        <v>MO_TRANSFER_ROBOT_IN_EXIT_JCM_MODE</v>
      </c>
    </row>
    <row r="28" spans="1:3" x14ac:dyDescent="0.3">
      <c r="A28">
        <f>IF(Sheet1!A28="", "", Sheet1!A28)</f>
        <v>11005</v>
      </c>
      <c r="B28" t="str">
        <f>IF(Sheet1!U28="", "", IF(Sheet1!U28="HEAVY","2","1"))</f>
        <v>2</v>
      </c>
      <c r="C28" t="str">
        <f>IF(Sheet1!C28="","",Sheet1!C28)</f>
        <v>MO_TRANSFER_ROBOT_IN_LOAD_BEGIN</v>
      </c>
    </row>
    <row r="29" spans="1:3" x14ac:dyDescent="0.3">
      <c r="A29">
        <f>IF(Sheet1!A29="", "", Sheet1!A29)</f>
        <v>11006</v>
      </c>
      <c r="B29" t="str">
        <f>IF(Sheet1!U29="", "", IF(Sheet1!U29="HEAVY","2","1"))</f>
        <v>2</v>
      </c>
      <c r="C29" t="str">
        <f>IF(Sheet1!C29="","",Sheet1!C29)</f>
        <v>MO_TRANSFER_ROBOT_IN_LOAD_PERMIT</v>
      </c>
    </row>
    <row r="30" spans="1:3" x14ac:dyDescent="0.3">
      <c r="A30">
        <f>IF(Sheet1!A30="", "", Sheet1!A30)</f>
        <v>11007</v>
      </c>
      <c r="B30" t="str">
        <f>IF(Sheet1!U30="", "", IF(Sheet1!U30="HEAVY","2","1"))</f>
        <v>2</v>
      </c>
      <c r="C30" t="str">
        <f>IF(Sheet1!C30="","",Sheet1!C30)</f>
        <v>MO_TRANSFER_ROBOT_IN_LOAD_EXIT</v>
      </c>
    </row>
    <row r="31" spans="1:3" x14ac:dyDescent="0.3">
      <c r="A31">
        <f>IF(Sheet1!A31="", "", Sheet1!A31)</f>
        <v>11008</v>
      </c>
      <c r="B31" t="str">
        <f>IF(Sheet1!U31="", "", IF(Sheet1!U31="HEAVY","2","1"))</f>
        <v>2</v>
      </c>
      <c r="C31" t="str">
        <f>IF(Sheet1!C31="","",Sheet1!C31)</f>
        <v>MO_TRANSFER_ROBOT_IN_MCR_BEGIN</v>
      </c>
    </row>
    <row r="32" spans="1:3" x14ac:dyDescent="0.3">
      <c r="A32">
        <f>IF(Sheet1!A32="", "", Sheet1!A32)</f>
        <v>11009</v>
      </c>
      <c r="B32" t="str">
        <f>IF(Sheet1!U32="", "", IF(Sheet1!U32="HEAVY","2","1"))</f>
        <v>2</v>
      </c>
      <c r="C32" t="str">
        <f>IF(Sheet1!C32="","",Sheet1!C32)</f>
        <v>MO_TRANSFER_ROBOT_IN_MCR_PERMIT</v>
      </c>
    </row>
    <row r="33" spans="1:3" x14ac:dyDescent="0.3">
      <c r="A33">
        <f>IF(Sheet1!A33="", "", Sheet1!A33)</f>
        <v>11010</v>
      </c>
      <c r="B33" t="str">
        <f>IF(Sheet1!U33="", "", IF(Sheet1!U33="HEAVY","2","1"))</f>
        <v>2</v>
      </c>
      <c r="C33" t="str">
        <f>IF(Sheet1!C33="","",Sheet1!C33)</f>
        <v>MO_TRANSFER_ROBOT_IN_MCR_EXIT</v>
      </c>
    </row>
    <row r="34" spans="1:3" x14ac:dyDescent="0.3">
      <c r="A34">
        <f>IF(Sheet1!A34="", "", Sheet1!A34)</f>
        <v>11011</v>
      </c>
      <c r="B34" t="str">
        <f>IF(Sheet1!U34="", "", IF(Sheet1!U34="HEAVY","2","1"))</f>
        <v>2</v>
      </c>
      <c r="C34" t="str">
        <f>IF(Sheet1!C34="","",Sheet1!C34)</f>
        <v>MO_TRANSFER_ROBOT_IN_UNLOAD_BEGIN</v>
      </c>
    </row>
    <row r="35" spans="1:3" x14ac:dyDescent="0.3">
      <c r="A35">
        <f>IF(Sheet1!A35="", "", Sheet1!A35)</f>
        <v>11012</v>
      </c>
      <c r="B35" t="str">
        <f>IF(Sheet1!U35="", "", IF(Sheet1!U35="HEAVY","2","1"))</f>
        <v>2</v>
      </c>
      <c r="C35" t="str">
        <f>IF(Sheet1!C35="","",Sheet1!C35)</f>
        <v>MO_TRANSFER_ROBOT_IN_UNLOAD_PERMIT</v>
      </c>
    </row>
    <row r="36" spans="1:3" x14ac:dyDescent="0.3">
      <c r="A36">
        <f>IF(Sheet1!A36="", "", Sheet1!A36)</f>
        <v>11013</v>
      </c>
      <c r="B36" t="str">
        <f>IF(Sheet1!U36="", "", IF(Sheet1!U36="HEAVY","2","1"))</f>
        <v>2</v>
      </c>
      <c r="C36" t="str">
        <f>IF(Sheet1!C36="","",Sheet1!C36)</f>
        <v>MO_TRANSFER_ROBOT_IN_UNLOAD_EXIT</v>
      </c>
    </row>
    <row r="37" spans="1:3" x14ac:dyDescent="0.3">
      <c r="A37">
        <f>IF(Sheet1!A37="", "", Sheet1!A37)</f>
        <v>11100</v>
      </c>
      <c r="B37" t="str">
        <f>IF(Sheet1!U37="", "", IF(Sheet1!U37="HEAVY","2","1"))</f>
        <v>2</v>
      </c>
      <c r="C37" t="str">
        <f>IF(Sheet1!C37="","",Sheet1!C37)</f>
        <v>CY_TRANSFER_ROBOT_IN_P1_T_TURN</v>
      </c>
    </row>
    <row r="38" spans="1:3" x14ac:dyDescent="0.3">
      <c r="A38">
        <f>IF(Sheet1!A38="", "", Sheet1!A38)</f>
        <v>11101</v>
      </c>
      <c r="B38" t="str">
        <f>IF(Sheet1!U38="", "", IF(Sheet1!U38="HEAVY","2","1"))</f>
        <v>2</v>
      </c>
      <c r="C38" t="str">
        <f>IF(Sheet1!C38="","",Sheet1!C38)</f>
        <v>CY_TRANSFER_ROBOT_IN_P1_T_RETURN</v>
      </c>
    </row>
    <row r="39" spans="1:3" x14ac:dyDescent="0.3">
      <c r="A39">
        <f>IF(Sheet1!A39="", "", Sheet1!A39)</f>
        <v>11110</v>
      </c>
      <c r="B39" t="str">
        <f>IF(Sheet1!U39="", "", IF(Sheet1!U39="HEAVY","2","1"))</f>
        <v>2</v>
      </c>
      <c r="C39" t="str">
        <f>IF(Sheet1!C39="","",Sheet1!C39)</f>
        <v>CY_TRANSFER_ROBOT_IN_P2_T_TURN</v>
      </c>
    </row>
    <row r="40" spans="1:3" x14ac:dyDescent="0.3">
      <c r="A40">
        <f>IF(Sheet1!A40="", "", Sheet1!A40)</f>
        <v>11111</v>
      </c>
      <c r="B40" t="str">
        <f>IF(Sheet1!U40="", "", IF(Sheet1!U40="HEAVY","2","1"))</f>
        <v>2</v>
      </c>
      <c r="C40" t="str">
        <f>IF(Sheet1!C40="","",Sheet1!C40)</f>
        <v>CY_TRANSFER_ROBOT_IN_P2_T_RETURN</v>
      </c>
    </row>
    <row r="41" spans="1:3" x14ac:dyDescent="0.3">
      <c r="A41">
        <f>IF(Sheet1!A41="", "", Sheet1!A41)</f>
        <v>11120</v>
      </c>
      <c r="B41" t="str">
        <f>IF(Sheet1!U41="", "", IF(Sheet1!U41="HEAVY","2","1"))</f>
        <v>2</v>
      </c>
      <c r="C41" t="str">
        <f>IF(Sheet1!C41="","",Sheet1!C41)</f>
        <v>VC_TRANSFER_ROBOT_IN_P1_VACUUM</v>
      </c>
    </row>
    <row r="42" spans="1:3" x14ac:dyDescent="0.3">
      <c r="A42">
        <f>IF(Sheet1!A42="", "", Sheet1!A42)</f>
        <v>11121</v>
      </c>
      <c r="B42" t="str">
        <f>IF(Sheet1!U42="", "", IF(Sheet1!U42="HEAVY","2","1"))</f>
        <v>2</v>
      </c>
      <c r="C42" t="str">
        <f>IF(Sheet1!C42="","",Sheet1!C42)</f>
        <v>VC_TRANSFER_ROBOT_IN_P1_BLOW</v>
      </c>
    </row>
    <row r="43" spans="1:3" x14ac:dyDescent="0.3">
      <c r="A43">
        <f>IF(Sheet1!A43="", "", Sheet1!A43)</f>
        <v>11122</v>
      </c>
      <c r="B43" t="str">
        <f>IF(Sheet1!U43="", "", IF(Sheet1!U43="HEAVY","2","1"))</f>
        <v>2</v>
      </c>
      <c r="C43" t="str">
        <f>IF(Sheet1!C43="","",Sheet1!C43)</f>
        <v>SE_TRANSFER_ROBOT_IN_P1_VACUUM_CHECK</v>
      </c>
    </row>
    <row r="44" spans="1:3" x14ac:dyDescent="0.3">
      <c r="A44">
        <f>IF(Sheet1!A44="", "", Sheet1!A44)</f>
        <v>11123</v>
      </c>
      <c r="B44" t="str">
        <f>IF(Sheet1!U44="", "", IF(Sheet1!U44="HEAVY","2","1"))</f>
        <v>2</v>
      </c>
      <c r="C44" t="str">
        <f>IF(Sheet1!C44="","",Sheet1!C44)</f>
        <v>SE_TRANSFER_ROBOT_IN_P1_SENSOR_CHECK</v>
      </c>
    </row>
    <row r="45" spans="1:3" x14ac:dyDescent="0.3">
      <c r="A45">
        <f>IF(Sheet1!A45="", "", Sheet1!A45)</f>
        <v>11124</v>
      </c>
      <c r="B45" t="str">
        <f>IF(Sheet1!U45="", "", IF(Sheet1!U45="HEAVY","2","1"))</f>
        <v>2</v>
      </c>
      <c r="C45" t="str">
        <f>IF(Sheet1!C45="","",Sheet1!C45)</f>
        <v>SE_TRANSFER_ROBOT_IN_P1_VACUUM_OVERLAP</v>
      </c>
    </row>
    <row r="46" spans="1:3" x14ac:dyDescent="0.3">
      <c r="A46">
        <f>IF(Sheet1!A46="", "", Sheet1!A46)</f>
        <v>11125</v>
      </c>
      <c r="B46" t="str">
        <f>IF(Sheet1!U46="", "", IF(Sheet1!U46="HEAVY","2","1"))</f>
        <v>2</v>
      </c>
      <c r="C46" t="str">
        <f>IF(Sheet1!C46="","",Sheet1!C46)</f>
        <v>SE_TRANSFER_ROBOT_IN_P1_SENSOR_OVERLAP</v>
      </c>
    </row>
    <row r="47" spans="1:3" x14ac:dyDescent="0.3">
      <c r="A47">
        <f>IF(Sheet1!A47="", "", Sheet1!A47)</f>
        <v>11130</v>
      </c>
      <c r="B47" t="str">
        <f>IF(Sheet1!U47="", "", IF(Sheet1!U47="HEAVY","2","1"))</f>
        <v>2</v>
      </c>
      <c r="C47" t="str">
        <f>IF(Sheet1!C47="","",Sheet1!C47)</f>
        <v>VC_TRANSFER_ROBOT_IN_P2_VACUUM</v>
      </c>
    </row>
    <row r="48" spans="1:3" x14ac:dyDescent="0.3">
      <c r="A48">
        <f>IF(Sheet1!A48="", "", Sheet1!A48)</f>
        <v>11131</v>
      </c>
      <c r="B48" t="str">
        <f>IF(Sheet1!U48="", "", IF(Sheet1!U48="HEAVY","2","1"))</f>
        <v>2</v>
      </c>
      <c r="C48" t="str">
        <f>IF(Sheet1!C48="","",Sheet1!C48)</f>
        <v>VC_TRANSFER_ROBOT_IN_P2_BLOW</v>
      </c>
    </row>
    <row r="49" spans="1:3" x14ac:dyDescent="0.3">
      <c r="A49">
        <f>IF(Sheet1!A49="", "", Sheet1!A49)</f>
        <v>11132</v>
      </c>
      <c r="B49" t="str">
        <f>IF(Sheet1!U49="", "", IF(Sheet1!U49="HEAVY","2","1"))</f>
        <v>2</v>
      </c>
      <c r="C49" t="str">
        <f>IF(Sheet1!C49="","",Sheet1!C49)</f>
        <v>SE_TRANSFER_ROBOT_IN_P2_VACUUM_CHECK</v>
      </c>
    </row>
    <row r="50" spans="1:3" x14ac:dyDescent="0.3">
      <c r="A50">
        <f>IF(Sheet1!A50="", "", Sheet1!A50)</f>
        <v>11133</v>
      </c>
      <c r="B50" t="str">
        <f>IF(Sheet1!U50="", "", IF(Sheet1!U50="HEAVY","2","1"))</f>
        <v>2</v>
      </c>
      <c r="C50" t="str">
        <f>IF(Sheet1!C50="","",Sheet1!C50)</f>
        <v>SE_TRANSFER_ROBOT_IN_P2_SENSOR_CHECK</v>
      </c>
    </row>
    <row r="51" spans="1:3" x14ac:dyDescent="0.3">
      <c r="A51">
        <f>IF(Sheet1!A51="", "", Sheet1!A51)</f>
        <v>11134</v>
      </c>
      <c r="B51" t="str">
        <f>IF(Sheet1!U51="", "", IF(Sheet1!U51="HEAVY","2","1"))</f>
        <v>2</v>
      </c>
      <c r="C51" t="str">
        <f>IF(Sheet1!C51="","",Sheet1!C51)</f>
        <v>SE_TRANSFER_ROBOT_IN_P2_VACUUM_OVERLAP</v>
      </c>
    </row>
    <row r="52" spans="1:3" x14ac:dyDescent="0.3">
      <c r="A52">
        <f>IF(Sheet1!A52="", "", Sheet1!A52)</f>
        <v>11135</v>
      </c>
      <c r="B52" t="str">
        <f>IF(Sheet1!U52="", "", IF(Sheet1!U52="HEAVY","2","1"))</f>
        <v>2</v>
      </c>
      <c r="C52" t="str">
        <f>IF(Sheet1!C52="","",Sheet1!C52)</f>
        <v>SE_TRANSFER_ROBOT_IN_P2_SENSOR_OVERLAP</v>
      </c>
    </row>
    <row r="53" spans="1:3" x14ac:dyDescent="0.3">
      <c r="A53">
        <f>IF(Sheet1!A53="", "", Sheet1!A53)</f>
        <v>11400</v>
      </c>
      <c r="B53" t="str">
        <f>IF(Sheet1!U53="", "", IF(Sheet1!U53="HEAVY","2","1"))</f>
        <v>2</v>
      </c>
      <c r="C53" t="str">
        <f>IF(Sheet1!C53="","",Sheet1!C53)</f>
        <v>CO_TRANSFER_ROBOT_IN_ALIGN_DATA</v>
      </c>
    </row>
    <row r="54" spans="1:3" x14ac:dyDescent="0.3">
      <c r="A54">
        <f>IF(Sheet1!A54="", "", Sheet1!A54)</f>
        <v>11401</v>
      </c>
      <c r="B54" t="str">
        <f>IF(Sheet1!U54="", "", IF(Sheet1!U54="HEAVY","2","1"))</f>
        <v>2</v>
      </c>
      <c r="C54" t="str">
        <f>IF(Sheet1!C54="","",Sheet1!C54)</f>
        <v>CO_TRANSFER_ROBOT_IN_RESET_DATA</v>
      </c>
    </row>
    <row r="55" spans="1:3" x14ac:dyDescent="0.3">
      <c r="A55">
        <f>IF(Sheet1!A55="", "", Sheet1!A55)</f>
        <v>11402</v>
      </c>
      <c r="B55" t="str">
        <f>IF(Sheet1!U55="", "", IF(Sheet1!U55="HEAVY","2","1"))</f>
        <v>2</v>
      </c>
      <c r="C55" t="str">
        <f>IF(Sheet1!C55="","",Sheet1!C55)</f>
        <v>CO_TRANSFER_ROBOT_IN_CALIBRATION_DATA</v>
      </c>
    </row>
    <row r="56" spans="1:3" x14ac:dyDescent="0.3">
      <c r="A56">
        <f>IF(Sheet1!A56="", "", Sheet1!A56)</f>
        <v>11500</v>
      </c>
      <c r="B56" t="str">
        <f>IF(Sheet1!U56="", "", IF(Sheet1!U56="HEAVY","2","1"))</f>
        <v>2</v>
      </c>
      <c r="C56" t="str">
        <f>IF(Sheet1!C56="","",Sheet1!C56)</f>
        <v>MO_INSP_STAGE_Y_HOME_MOTION</v>
      </c>
    </row>
    <row r="57" spans="1:3" x14ac:dyDescent="0.3">
      <c r="A57">
        <f>IF(Sheet1!A57="", "", Sheet1!A57)</f>
        <v>11501</v>
      </c>
      <c r="B57" t="str">
        <f>IF(Sheet1!U57="", "", IF(Sheet1!U57="HEAVY","2","1"))</f>
        <v>2</v>
      </c>
      <c r="C57" t="str">
        <f>IF(Sheet1!C57="","",Sheet1!C57)</f>
        <v>MO_INSP_STAGE_Y_LOAD_MOVE</v>
      </c>
    </row>
    <row r="58" spans="1:3" x14ac:dyDescent="0.3">
      <c r="A58">
        <f>IF(Sheet1!A58="", "", Sheet1!A58)</f>
        <v>11502</v>
      </c>
      <c r="B58" t="str">
        <f>IF(Sheet1!U58="", "", IF(Sheet1!U58="HEAVY","2","1"))</f>
        <v>2</v>
      </c>
      <c r="C58" t="str">
        <f>IF(Sheet1!C58="","",Sheet1!C58)</f>
        <v>MO_INSP_STAGE_Y_GRAB_P1_MOVE</v>
      </c>
    </row>
    <row r="59" spans="1:3" x14ac:dyDescent="0.3">
      <c r="A59">
        <f>IF(Sheet1!A59="", "", Sheet1!A59)</f>
        <v>11503</v>
      </c>
      <c r="B59" t="str">
        <f>IF(Sheet1!U59="", "", IF(Sheet1!U59="HEAVY","2","1"))</f>
        <v>2</v>
      </c>
      <c r="C59" t="str">
        <f>IF(Sheet1!C59="","",Sheet1!C59)</f>
        <v>MO_INSP_STAGE_Y_GRAB_P2_MOVE</v>
      </c>
    </row>
    <row r="60" spans="1:3" x14ac:dyDescent="0.3">
      <c r="A60">
        <f>IF(Sheet1!A60="", "", Sheet1!A60)</f>
        <v>11504</v>
      </c>
      <c r="B60" t="str">
        <f>IF(Sheet1!U60="", "", IF(Sheet1!U60="HEAVY","2","1"))</f>
        <v>2</v>
      </c>
      <c r="C60" t="str">
        <f>IF(Sheet1!C60="","",Sheet1!C60)</f>
        <v>MO_INSP_STAGE_Y_UNLOAD_MOVE</v>
      </c>
    </row>
    <row r="61" spans="1:3" x14ac:dyDescent="0.3">
      <c r="A61">
        <f>IF(Sheet1!A61="", "", Sheet1!A61)</f>
        <v>11600</v>
      </c>
      <c r="B61" t="str">
        <f>IF(Sheet1!U61="", "", IF(Sheet1!U61="HEAVY","2","1"))</f>
        <v>2</v>
      </c>
      <c r="C61" t="str">
        <f>IF(Sheet1!C61="","",Sheet1!C61)</f>
        <v>VC_INSP_STAGE_P1_VACUUM</v>
      </c>
    </row>
    <row r="62" spans="1:3" x14ac:dyDescent="0.3">
      <c r="A62">
        <f>IF(Sheet1!A62="", "", Sheet1!A62)</f>
        <v>11601</v>
      </c>
      <c r="B62" t="str">
        <f>IF(Sheet1!U62="", "", IF(Sheet1!U62="HEAVY","2","1"))</f>
        <v>2</v>
      </c>
      <c r="C62" t="str">
        <f>IF(Sheet1!C62="","",Sheet1!C62)</f>
        <v>VC_INSP_STAGE_P1_BLOW</v>
      </c>
    </row>
    <row r="63" spans="1:3" x14ac:dyDescent="0.3">
      <c r="A63">
        <f>IF(Sheet1!A63="", "", Sheet1!A63)</f>
        <v>11602</v>
      </c>
      <c r="B63" t="str">
        <f>IF(Sheet1!U63="", "", IF(Sheet1!U63="HEAVY","2","1"))</f>
        <v>2</v>
      </c>
      <c r="C63" t="str">
        <f>IF(Sheet1!C63="","",Sheet1!C63)</f>
        <v>SE_INSP_STAGE_P1_VACUUM_CHECK</v>
      </c>
    </row>
    <row r="64" spans="1:3" x14ac:dyDescent="0.3">
      <c r="A64">
        <f>IF(Sheet1!A64="", "", Sheet1!A64)</f>
        <v>11603</v>
      </c>
      <c r="B64" t="str">
        <f>IF(Sheet1!U64="", "", IF(Sheet1!U64="HEAVY","2","1"))</f>
        <v>2</v>
      </c>
      <c r="C64" t="str">
        <f>IF(Sheet1!C64="","",Sheet1!C64)</f>
        <v>SE_INSP_STAGE_P1_SENSOR_CHECK</v>
      </c>
    </row>
    <row r="65" spans="1:3" x14ac:dyDescent="0.3">
      <c r="A65">
        <f>IF(Sheet1!A65="", "", Sheet1!A65)</f>
        <v>11604</v>
      </c>
      <c r="B65" t="str">
        <f>IF(Sheet1!U65="", "", IF(Sheet1!U65="HEAVY","2","1"))</f>
        <v>2</v>
      </c>
      <c r="C65" t="str">
        <f>IF(Sheet1!C65="","",Sheet1!C65)</f>
        <v>SE_INSP_STAGE_P1_VACUUM_OVERLAP</v>
      </c>
    </row>
    <row r="66" spans="1:3" x14ac:dyDescent="0.3">
      <c r="A66">
        <f>IF(Sheet1!A66="", "", Sheet1!A66)</f>
        <v>11605</v>
      </c>
      <c r="B66" t="str">
        <f>IF(Sheet1!U66="", "", IF(Sheet1!U66="HEAVY","2","1"))</f>
        <v>2</v>
      </c>
      <c r="C66" t="str">
        <f>IF(Sheet1!C66="","",Sheet1!C66)</f>
        <v>SE_INSP_STAGE_P1_SENSOR_OVERLAP</v>
      </c>
    </row>
    <row r="67" spans="1:3" x14ac:dyDescent="0.3">
      <c r="A67">
        <f>IF(Sheet1!A67="", "", Sheet1!A67)</f>
        <v>11610</v>
      </c>
      <c r="B67" t="str">
        <f>IF(Sheet1!U67="", "", IF(Sheet1!U67="HEAVY","2","1"))</f>
        <v>2</v>
      </c>
      <c r="C67" t="str">
        <f>IF(Sheet1!C67="","",Sheet1!C67)</f>
        <v>VC_INSP_STAGE_P2_VACUUM</v>
      </c>
    </row>
    <row r="68" spans="1:3" x14ac:dyDescent="0.3">
      <c r="A68">
        <f>IF(Sheet1!A68="", "", Sheet1!A68)</f>
        <v>11611</v>
      </c>
      <c r="B68" t="str">
        <f>IF(Sheet1!U68="", "", IF(Sheet1!U68="HEAVY","2","1"))</f>
        <v>2</v>
      </c>
      <c r="C68" t="str">
        <f>IF(Sheet1!C68="","",Sheet1!C68)</f>
        <v>VC_INSP_STAGE_P2_BLOW</v>
      </c>
    </row>
    <row r="69" spans="1:3" x14ac:dyDescent="0.3">
      <c r="A69">
        <f>IF(Sheet1!A69="", "", Sheet1!A69)</f>
        <v>11612</v>
      </c>
      <c r="B69" t="str">
        <f>IF(Sheet1!U69="", "", IF(Sheet1!U69="HEAVY","2","1"))</f>
        <v>2</v>
      </c>
      <c r="C69" t="str">
        <f>IF(Sheet1!C69="","",Sheet1!C69)</f>
        <v>SE_INSP_STAGE_P2_VACUUM_CHECK</v>
      </c>
    </row>
    <row r="70" spans="1:3" x14ac:dyDescent="0.3">
      <c r="A70">
        <f>IF(Sheet1!A70="", "", Sheet1!A70)</f>
        <v>11613</v>
      </c>
      <c r="B70" t="str">
        <f>IF(Sheet1!U70="", "", IF(Sheet1!U70="HEAVY","2","1"))</f>
        <v>2</v>
      </c>
      <c r="C70" t="str">
        <f>IF(Sheet1!C70="","",Sheet1!C70)</f>
        <v>SE_INSP_STAGE_P2_SENSOR_CHECK</v>
      </c>
    </row>
    <row r="71" spans="1:3" x14ac:dyDescent="0.3">
      <c r="A71">
        <f>IF(Sheet1!A71="", "", Sheet1!A71)</f>
        <v>11614</v>
      </c>
      <c r="B71" t="str">
        <f>IF(Sheet1!U71="", "", IF(Sheet1!U71="HEAVY","2","1"))</f>
        <v>2</v>
      </c>
      <c r="C71" t="str">
        <f>IF(Sheet1!C71="","",Sheet1!C71)</f>
        <v>SE_INSP_STAGE_P2_VACUUM_OVERLAP</v>
      </c>
    </row>
    <row r="72" spans="1:3" x14ac:dyDescent="0.3">
      <c r="A72">
        <f>IF(Sheet1!A72="", "", Sheet1!A72)</f>
        <v>11615</v>
      </c>
      <c r="B72" t="str">
        <f>IF(Sheet1!U72="", "", IF(Sheet1!U72="HEAVY","2","1"))</f>
        <v>2</v>
      </c>
      <c r="C72" t="str">
        <f>IF(Sheet1!C72="","",Sheet1!C72)</f>
        <v>SE_INSP_STAGE_P2_SENSOR_OVERLAP</v>
      </c>
    </row>
    <row r="73" spans="1:3" x14ac:dyDescent="0.3">
      <c r="A73">
        <f>IF(Sheet1!A73="", "", Sheet1!A73)</f>
        <v>12000</v>
      </c>
      <c r="B73" t="str">
        <f>IF(Sheet1!U73="", "", IF(Sheet1!U73="HEAVY","2","1"))</f>
        <v>2</v>
      </c>
      <c r="C73" t="str">
        <f>IF(Sheet1!C73="","",Sheet1!C73)</f>
        <v>MO_TRANSFER_ROBOT_OUT_N_INITIALIZE</v>
      </c>
    </row>
    <row r="74" spans="1:3" x14ac:dyDescent="0.3">
      <c r="A74">
        <f>IF(Sheet1!A74="", "", Sheet1!A74)</f>
        <v>12001</v>
      </c>
      <c r="B74" t="str">
        <f>IF(Sheet1!U74="", "", IF(Sheet1!U74="HEAVY","2","1"))</f>
        <v>2</v>
      </c>
      <c r="C74" t="str">
        <f>IF(Sheet1!C74="","",Sheet1!C74)</f>
        <v>MO_TRANSFER_ROBOT_OUT_PROCESS_SKIP</v>
      </c>
    </row>
    <row r="75" spans="1:3" x14ac:dyDescent="0.3">
      <c r="A75">
        <f>IF(Sheet1!A75="", "", Sheet1!A75)</f>
        <v>12002</v>
      </c>
      <c r="B75" t="str">
        <f>IF(Sheet1!U75="", "", IF(Sheet1!U75="HEAVY","2","1"))</f>
        <v>2</v>
      </c>
      <c r="C75" t="str">
        <f>IF(Sheet1!C75="","",Sheet1!C75)</f>
        <v>MO_TRANSFER_ROBOT_OUT_ENTER_JCM_MODE</v>
      </c>
    </row>
    <row r="76" spans="1:3" x14ac:dyDescent="0.3">
      <c r="A76">
        <f>IF(Sheet1!A76="", "", Sheet1!A76)</f>
        <v>12003</v>
      </c>
      <c r="B76" t="str">
        <f>IF(Sheet1!U76="", "", IF(Sheet1!U76="HEAVY","2","1"))</f>
        <v>2</v>
      </c>
      <c r="C76" t="str">
        <f>IF(Sheet1!C76="","",Sheet1!C76)</f>
        <v>MO_TRANSFER_ROBOT_OUT_JCM_MODE_MOVE</v>
      </c>
    </row>
    <row r="77" spans="1:3" x14ac:dyDescent="0.3">
      <c r="A77">
        <f>IF(Sheet1!A77="", "", Sheet1!A77)</f>
        <v>12004</v>
      </c>
      <c r="B77" t="str">
        <f>IF(Sheet1!U77="", "", IF(Sheet1!U77="HEAVY","2","1"))</f>
        <v>2</v>
      </c>
      <c r="C77" t="str">
        <f>IF(Sheet1!C77="","",Sheet1!C77)</f>
        <v>MO_TRANSFER_ROBOT_OUT_EXIT_JCM_MODE</v>
      </c>
    </row>
    <row r="78" spans="1:3" x14ac:dyDescent="0.3">
      <c r="A78">
        <f>IF(Sheet1!A78="", "", Sheet1!A78)</f>
        <v>12005</v>
      </c>
      <c r="B78" t="str">
        <f>IF(Sheet1!U78="", "", IF(Sheet1!U78="HEAVY","2","1"))</f>
        <v>2</v>
      </c>
      <c r="C78" t="str">
        <f>IF(Sheet1!C78="","",Sheet1!C78)</f>
        <v>MO_TRANSFER_ROBOT_OUT_LOAD_BEGIN</v>
      </c>
    </row>
    <row r="79" spans="1:3" x14ac:dyDescent="0.3">
      <c r="A79">
        <f>IF(Sheet1!A79="", "", Sheet1!A79)</f>
        <v>12006</v>
      </c>
      <c r="B79" t="str">
        <f>IF(Sheet1!U79="", "", IF(Sheet1!U79="HEAVY","2","1"))</f>
        <v>2</v>
      </c>
      <c r="C79" t="str">
        <f>IF(Sheet1!C79="","",Sheet1!C79)</f>
        <v>MO_TRANSFER_ROBOT_OUT_LOAD_PERMIT</v>
      </c>
    </row>
    <row r="80" spans="1:3" x14ac:dyDescent="0.3">
      <c r="A80">
        <f>IF(Sheet1!A80="", "", Sheet1!A80)</f>
        <v>12007</v>
      </c>
      <c r="B80" t="str">
        <f>IF(Sheet1!U80="", "", IF(Sheet1!U80="HEAVY","2","1"))</f>
        <v>2</v>
      </c>
      <c r="C80" t="str">
        <f>IF(Sheet1!C80="","",Sheet1!C80)</f>
        <v>MO_TRANSFER_ROBOT_OUT_LOAD_EXIT</v>
      </c>
    </row>
    <row r="81" spans="1:3" x14ac:dyDescent="0.3">
      <c r="A81">
        <f>IF(Sheet1!A81="", "", Sheet1!A81)</f>
        <v>12008</v>
      </c>
      <c r="B81" t="str">
        <f>IF(Sheet1!U81="", "", IF(Sheet1!U81="HEAVY","2","1"))</f>
        <v>2</v>
      </c>
      <c r="C81" t="str">
        <f>IF(Sheet1!C81="","",Sheet1!C81)</f>
        <v>MO_TRANSFER_ROBOT_OUT_UNLOAD_BEGIN</v>
      </c>
    </row>
    <row r="82" spans="1:3" x14ac:dyDescent="0.3">
      <c r="A82">
        <f>IF(Sheet1!A82="", "", Sheet1!A82)</f>
        <v>12009</v>
      </c>
      <c r="B82" t="str">
        <f>IF(Sheet1!U82="", "", IF(Sheet1!U82="HEAVY","2","1"))</f>
        <v>2</v>
      </c>
      <c r="C82" t="str">
        <f>IF(Sheet1!C82="","",Sheet1!C82)</f>
        <v>MO_TRANSFER_ROBOT_OUT_UNLOAD_PERMIT</v>
      </c>
    </row>
    <row r="83" spans="1:3" x14ac:dyDescent="0.3">
      <c r="A83">
        <f>IF(Sheet1!A83="", "", Sheet1!A83)</f>
        <v>12010</v>
      </c>
      <c r="B83" t="str">
        <f>IF(Sheet1!U83="", "", IF(Sheet1!U83="HEAVY","2","1"))</f>
        <v>2</v>
      </c>
      <c r="C83" t="str">
        <f>IF(Sheet1!C83="","",Sheet1!C83)</f>
        <v>MO_TRANSFER_ROBOT_OUT_UNLOAD_EXIT</v>
      </c>
    </row>
    <row r="84" spans="1:3" x14ac:dyDescent="0.3">
      <c r="A84">
        <f>IF(Sheet1!A84="", "", Sheet1!A84)</f>
        <v>12100</v>
      </c>
      <c r="B84" t="str">
        <f>IF(Sheet1!U84="", "", IF(Sheet1!U84="HEAVY","2","1"))</f>
        <v>2</v>
      </c>
      <c r="C84" t="str">
        <f>IF(Sheet1!C84="","",Sheet1!C84)</f>
        <v>CY_TRANSFER_ROBOT_OUT_P1_T_TURN</v>
      </c>
    </row>
    <row r="85" spans="1:3" x14ac:dyDescent="0.3">
      <c r="A85">
        <f>IF(Sheet1!A85="", "", Sheet1!A85)</f>
        <v>12101</v>
      </c>
      <c r="B85" t="str">
        <f>IF(Sheet1!U85="", "", IF(Sheet1!U85="HEAVY","2","1"))</f>
        <v>2</v>
      </c>
      <c r="C85" t="str">
        <f>IF(Sheet1!C85="","",Sheet1!C85)</f>
        <v>CY_TRANSFER_ROBOT_OUT_P1_T_RETURN</v>
      </c>
    </row>
    <row r="86" spans="1:3" x14ac:dyDescent="0.3">
      <c r="A86">
        <f>IF(Sheet1!A86="", "", Sheet1!A86)</f>
        <v>12110</v>
      </c>
      <c r="B86" t="str">
        <f>IF(Sheet1!U86="", "", IF(Sheet1!U86="HEAVY","2","1"))</f>
        <v>2</v>
      </c>
      <c r="C86" t="str">
        <f>IF(Sheet1!C86="","",Sheet1!C86)</f>
        <v>CY_TRANSFER_ROBOT_OUT_P2_T_TURN</v>
      </c>
    </row>
    <row r="87" spans="1:3" x14ac:dyDescent="0.3">
      <c r="A87">
        <f>IF(Sheet1!A87="", "", Sheet1!A87)</f>
        <v>12111</v>
      </c>
      <c r="B87" t="str">
        <f>IF(Sheet1!U87="", "", IF(Sheet1!U87="HEAVY","2","1"))</f>
        <v>2</v>
      </c>
      <c r="C87" t="str">
        <f>IF(Sheet1!C87="","",Sheet1!C87)</f>
        <v>CY_TRANSFER_ROBOT_OUT_P2_T_RETURN</v>
      </c>
    </row>
    <row r="88" spans="1:3" x14ac:dyDescent="0.3">
      <c r="A88">
        <f>IF(Sheet1!A88="", "", Sheet1!A88)</f>
        <v>12120</v>
      </c>
      <c r="B88" t="str">
        <f>IF(Sheet1!U88="", "", IF(Sheet1!U88="HEAVY","2","1"))</f>
        <v>2</v>
      </c>
      <c r="C88" t="str">
        <f>IF(Sheet1!C88="","",Sheet1!C88)</f>
        <v>VC_TRANSFER_ROBOT_OUT_P1_VACUUM</v>
      </c>
    </row>
    <row r="89" spans="1:3" x14ac:dyDescent="0.3">
      <c r="A89">
        <f>IF(Sheet1!A89="", "", Sheet1!A89)</f>
        <v>12121</v>
      </c>
      <c r="B89" t="str">
        <f>IF(Sheet1!U89="", "", IF(Sheet1!U89="HEAVY","2","1"))</f>
        <v>2</v>
      </c>
      <c r="C89" t="str">
        <f>IF(Sheet1!C89="","",Sheet1!C89)</f>
        <v>VC_TRANSFER_ROBOT_OUT_P1_BLOW</v>
      </c>
    </row>
    <row r="90" spans="1:3" x14ac:dyDescent="0.3">
      <c r="A90">
        <f>IF(Sheet1!A90="", "", Sheet1!A90)</f>
        <v>12122</v>
      </c>
      <c r="B90" t="str">
        <f>IF(Sheet1!U90="", "", IF(Sheet1!U90="HEAVY","2","1"))</f>
        <v>2</v>
      </c>
      <c r="C90" t="str">
        <f>IF(Sheet1!C90="","",Sheet1!C90)</f>
        <v>SE_TRANSFER_ROBOT_OUT_P1_VACUUM_CHECK</v>
      </c>
    </row>
    <row r="91" spans="1:3" x14ac:dyDescent="0.3">
      <c r="A91">
        <f>IF(Sheet1!A91="", "", Sheet1!A91)</f>
        <v>12123</v>
      </c>
      <c r="B91" t="str">
        <f>IF(Sheet1!U91="", "", IF(Sheet1!U91="HEAVY","2","1"))</f>
        <v>2</v>
      </c>
      <c r="C91" t="str">
        <f>IF(Sheet1!C91="","",Sheet1!C91)</f>
        <v>SE_TRANSFER_ROBOT_OUT_P1_SENSOR_CHECK</v>
      </c>
    </row>
    <row r="92" spans="1:3" x14ac:dyDescent="0.3">
      <c r="A92">
        <f>IF(Sheet1!A92="", "", Sheet1!A92)</f>
        <v>12124</v>
      </c>
      <c r="B92" t="str">
        <f>IF(Sheet1!U92="", "", IF(Sheet1!U92="HEAVY","2","1"))</f>
        <v>2</v>
      </c>
      <c r="C92" t="str">
        <f>IF(Sheet1!C92="","",Sheet1!C92)</f>
        <v>SE_TRANSFER_ROBOT_OUT_P1_VACUUM_OVERLAP</v>
      </c>
    </row>
    <row r="93" spans="1:3" x14ac:dyDescent="0.3">
      <c r="A93">
        <f>IF(Sheet1!A93="", "", Sheet1!A93)</f>
        <v>12125</v>
      </c>
      <c r="B93" t="str">
        <f>IF(Sheet1!U93="", "", IF(Sheet1!U93="HEAVY","2","1"))</f>
        <v>2</v>
      </c>
      <c r="C93" t="str">
        <f>IF(Sheet1!C93="","",Sheet1!C93)</f>
        <v>SE_TRANSFER_ROBOT_OUT_P1_SENSOR_OVERLAP</v>
      </c>
    </row>
    <row r="94" spans="1:3" x14ac:dyDescent="0.3">
      <c r="A94">
        <f>IF(Sheet1!A94="", "", Sheet1!A94)</f>
        <v>12130</v>
      </c>
      <c r="B94" t="str">
        <f>IF(Sheet1!U94="", "", IF(Sheet1!U94="HEAVY","2","1"))</f>
        <v>2</v>
      </c>
      <c r="C94" t="str">
        <f>IF(Sheet1!C94="","",Sheet1!C94)</f>
        <v>VC_TRANSFER_ROBOT_OUT_P2_VACUUM</v>
      </c>
    </row>
    <row r="95" spans="1:3" x14ac:dyDescent="0.3">
      <c r="A95">
        <f>IF(Sheet1!A95="", "", Sheet1!A95)</f>
        <v>12131</v>
      </c>
      <c r="B95" t="str">
        <f>IF(Sheet1!U95="", "", IF(Sheet1!U95="HEAVY","2","1"))</f>
        <v>2</v>
      </c>
      <c r="C95" t="str">
        <f>IF(Sheet1!C95="","",Sheet1!C95)</f>
        <v>VC_TRANSFER_ROBOT_OUT_P2_BLOW</v>
      </c>
    </row>
    <row r="96" spans="1:3" x14ac:dyDescent="0.3">
      <c r="A96">
        <f>IF(Sheet1!A96="", "", Sheet1!A96)</f>
        <v>12132</v>
      </c>
      <c r="B96" t="str">
        <f>IF(Sheet1!U96="", "", IF(Sheet1!U96="HEAVY","2","1"))</f>
        <v>2</v>
      </c>
      <c r="C96" t="str">
        <f>IF(Sheet1!C96="","",Sheet1!C96)</f>
        <v>SE_TRANSFER_ROBOT_OUT_P2_VACUUM_CHECK</v>
      </c>
    </row>
    <row r="97" spans="1:3" x14ac:dyDescent="0.3">
      <c r="A97">
        <f>IF(Sheet1!A97="", "", Sheet1!A97)</f>
        <v>12133</v>
      </c>
      <c r="B97" t="str">
        <f>IF(Sheet1!U97="", "", IF(Sheet1!U97="HEAVY","2","1"))</f>
        <v>2</v>
      </c>
      <c r="C97" t="str">
        <f>IF(Sheet1!C97="","",Sheet1!C97)</f>
        <v>SE_TRANSFER_ROBOT_OUT_P2_SENSOR_CHECK</v>
      </c>
    </row>
    <row r="98" spans="1:3" x14ac:dyDescent="0.3">
      <c r="A98">
        <f>IF(Sheet1!A98="", "", Sheet1!A98)</f>
        <v>12134</v>
      </c>
      <c r="B98" t="str">
        <f>IF(Sheet1!U98="", "", IF(Sheet1!U98="HEAVY","2","1"))</f>
        <v>2</v>
      </c>
      <c r="C98" t="str">
        <f>IF(Sheet1!C98="","",Sheet1!C98)</f>
        <v>SE_TRANSFER_ROBOT_OUT_P2_VACUUM_OVERLAP</v>
      </c>
    </row>
    <row r="99" spans="1:3" x14ac:dyDescent="0.3">
      <c r="A99">
        <f>IF(Sheet1!A99="", "", Sheet1!A99)</f>
        <v>12135</v>
      </c>
      <c r="B99" t="str">
        <f>IF(Sheet1!U99="", "", IF(Sheet1!U99="HEAVY","2","1"))</f>
        <v>2</v>
      </c>
      <c r="C99" t="str">
        <f>IF(Sheet1!C99="","",Sheet1!C99)</f>
        <v>SE_TRANSFER_ROBOT_OUT_P2_SENSOR_OVERLAP</v>
      </c>
    </row>
    <row r="100" spans="1:3" x14ac:dyDescent="0.3">
      <c r="A100">
        <f>IF(Sheet1!A100="", "", Sheet1!A100)</f>
        <v>12400</v>
      </c>
      <c r="B100" t="str">
        <f>IF(Sheet1!U100="", "", IF(Sheet1!U100="HEAVY","2","1"))</f>
        <v>2</v>
      </c>
      <c r="C100" t="str">
        <f>IF(Sheet1!C100="","",Sheet1!C100)</f>
        <v>CO_TRANSFER_ROBOT_OUT_ALIGN_DATA</v>
      </c>
    </row>
    <row r="101" spans="1:3" x14ac:dyDescent="0.3">
      <c r="A101">
        <f>IF(Sheet1!A101="", "", Sheet1!A101)</f>
        <v>12401</v>
      </c>
      <c r="B101" t="str">
        <f>IF(Sheet1!U101="", "", IF(Sheet1!U101="HEAVY","2","1"))</f>
        <v>2</v>
      </c>
      <c r="C101" t="str">
        <f>IF(Sheet1!C101="","",Sheet1!C101)</f>
        <v>CO_TRANSFER_ROBOT_OUT_RESET_DATA</v>
      </c>
    </row>
    <row r="102" spans="1:3" x14ac:dyDescent="0.3">
      <c r="A102">
        <f>IF(Sheet1!A102="", "", Sheet1!A102)</f>
        <v>12402</v>
      </c>
      <c r="B102" t="str">
        <f>IF(Sheet1!U102="", "", IF(Sheet1!U102="HEAVY","2","1"))</f>
        <v>2</v>
      </c>
      <c r="C102" t="str">
        <f>IF(Sheet1!C102="","",Sheet1!C102)</f>
        <v>CO_TRANSFER_ROBOT_OUT_CALIBRATION_DATA</v>
      </c>
    </row>
    <row r="103" spans="1:3" x14ac:dyDescent="0.3">
      <c r="A103">
        <f>IF(Sheet1!A103="", "", Sheet1!A103)</f>
        <v>13000</v>
      </c>
      <c r="B103" t="str">
        <f>IF(Sheet1!U103="", "", IF(Sheet1!U103="HEAVY","2","1"))</f>
        <v>2</v>
      </c>
      <c r="C103" t="str">
        <f>IF(Sheet1!C103="","",Sheet1!C103)</f>
        <v>MO_OUT_FLIP_R1_HOME_MOTION</v>
      </c>
    </row>
    <row r="104" spans="1:3" x14ac:dyDescent="0.3">
      <c r="A104">
        <f>IF(Sheet1!A104="", "", Sheet1!A104)</f>
        <v>13001</v>
      </c>
      <c r="B104" t="str">
        <f>IF(Sheet1!U104="", "", IF(Sheet1!U104="HEAVY","2","1"))</f>
        <v>2</v>
      </c>
      <c r="C104" t="str">
        <f>IF(Sheet1!C104="","",Sheet1!C104)</f>
        <v>MO_OUT_FLIP_R1_LOAD_MOVE</v>
      </c>
    </row>
    <row r="105" spans="1:3" x14ac:dyDescent="0.3">
      <c r="A105">
        <f>IF(Sheet1!A105="", "", Sheet1!A105)</f>
        <v>13002</v>
      </c>
      <c r="B105" t="str">
        <f>IF(Sheet1!U105="", "", IF(Sheet1!U105="HEAVY","2","1"))</f>
        <v>2</v>
      </c>
      <c r="C105" t="str">
        <f>IF(Sheet1!C105="","",Sheet1!C105)</f>
        <v>MO_OUT_FLIP_R1_UNLOAD_MOVE</v>
      </c>
    </row>
    <row r="106" spans="1:3" x14ac:dyDescent="0.3">
      <c r="A106">
        <f>IF(Sheet1!A106="", "", Sheet1!A106)</f>
        <v>13010</v>
      </c>
      <c r="B106" t="str">
        <f>IF(Sheet1!U106="", "", IF(Sheet1!U106="HEAVY","2","1"))</f>
        <v>2</v>
      </c>
      <c r="C106" t="str">
        <f>IF(Sheet1!C106="","",Sheet1!C106)</f>
        <v>MO_OUT_FLIP_R2_HOME_MOTION</v>
      </c>
    </row>
    <row r="107" spans="1:3" x14ac:dyDescent="0.3">
      <c r="A107">
        <f>IF(Sheet1!A107="", "", Sheet1!A107)</f>
        <v>13011</v>
      </c>
      <c r="B107" t="str">
        <f>IF(Sheet1!U107="", "", IF(Sheet1!U107="HEAVY","2","1"))</f>
        <v>2</v>
      </c>
      <c r="C107" t="str">
        <f>IF(Sheet1!C107="","",Sheet1!C107)</f>
        <v>MO_OUT_FLIP_R2_LOAD_MOVE</v>
      </c>
    </row>
    <row r="108" spans="1:3" x14ac:dyDescent="0.3">
      <c r="A108">
        <f>IF(Sheet1!A108="", "", Sheet1!A108)</f>
        <v>13012</v>
      </c>
      <c r="B108" t="str">
        <f>IF(Sheet1!U108="", "", IF(Sheet1!U108="HEAVY","2","1"))</f>
        <v>2</v>
      </c>
      <c r="C108" t="str">
        <f>IF(Sheet1!C108="","",Sheet1!C108)</f>
        <v>MO_OUT_FLIP_R2_UNLOAD_MOVE</v>
      </c>
    </row>
    <row r="109" spans="1:3" x14ac:dyDescent="0.3">
      <c r="A109">
        <f>IF(Sheet1!A109="", "", Sheet1!A109)</f>
        <v>13020</v>
      </c>
      <c r="B109" t="str">
        <f>IF(Sheet1!U109="", "", IF(Sheet1!U109="HEAVY","2","1"))</f>
        <v>2</v>
      </c>
      <c r="C109" t="str">
        <f>IF(Sheet1!C109="","",Sheet1!C109)</f>
        <v>MO_OUT_FLIP_Z_HOME_MOTION</v>
      </c>
    </row>
    <row r="110" spans="1:3" x14ac:dyDescent="0.3">
      <c r="A110">
        <f>IF(Sheet1!A110="", "", Sheet1!A110)</f>
        <v>13021</v>
      </c>
      <c r="B110" t="str">
        <f>IF(Sheet1!U110="", "", IF(Sheet1!U110="HEAVY","2","1"))</f>
        <v>2</v>
      </c>
      <c r="C110" t="str">
        <f>IF(Sheet1!C110="","",Sheet1!C110)</f>
        <v>MO_OUT_FLIP_Z_UP_MOVE</v>
      </c>
    </row>
    <row r="111" spans="1:3" x14ac:dyDescent="0.3">
      <c r="A111">
        <f>IF(Sheet1!A111="", "", Sheet1!A111)</f>
        <v>13022</v>
      </c>
      <c r="B111" t="str">
        <f>IF(Sheet1!U111="", "", IF(Sheet1!U111="HEAVY","2","1"))</f>
        <v>2</v>
      </c>
      <c r="C111" t="str">
        <f>IF(Sheet1!C111="","",Sheet1!C111)</f>
        <v>MO_OUT_FLIP_Z_DOWN_MOVE</v>
      </c>
    </row>
    <row r="112" spans="1:3" x14ac:dyDescent="0.3">
      <c r="A112">
        <f>IF(Sheet1!A112="", "", Sheet1!A112)</f>
        <v>13100</v>
      </c>
      <c r="B112" t="str">
        <f>IF(Sheet1!U112="", "", IF(Sheet1!U112="HEAVY","2","1"))</f>
        <v>2</v>
      </c>
      <c r="C112" t="str">
        <f>IF(Sheet1!C112="","",Sheet1!C112)</f>
        <v>VC_OUT_FLIP_P1_VACUUM</v>
      </c>
    </row>
    <row r="113" spans="1:3" x14ac:dyDescent="0.3">
      <c r="A113">
        <f>IF(Sheet1!A113="", "", Sheet1!A113)</f>
        <v>13101</v>
      </c>
      <c r="B113" t="str">
        <f>IF(Sheet1!U113="", "", IF(Sheet1!U113="HEAVY","2","1"))</f>
        <v>2</v>
      </c>
      <c r="C113" t="str">
        <f>IF(Sheet1!C113="","",Sheet1!C113)</f>
        <v>VC_OUT_FLIP_P1_BLOW</v>
      </c>
    </row>
    <row r="114" spans="1:3" x14ac:dyDescent="0.3">
      <c r="A114">
        <f>IF(Sheet1!A114="", "", Sheet1!A114)</f>
        <v>13102</v>
      </c>
      <c r="B114" t="str">
        <f>IF(Sheet1!U114="", "", IF(Sheet1!U114="HEAVY","2","1"))</f>
        <v>2</v>
      </c>
      <c r="C114" t="str">
        <f>IF(Sheet1!C114="","",Sheet1!C114)</f>
        <v>SE_OUT_FLIP_P1_VACUUM_CHECK</v>
      </c>
    </row>
    <row r="115" spans="1:3" x14ac:dyDescent="0.3">
      <c r="A115">
        <f>IF(Sheet1!A115="", "", Sheet1!A115)</f>
        <v>13103</v>
      </c>
      <c r="B115" t="str">
        <f>IF(Sheet1!U115="", "", IF(Sheet1!U115="HEAVY","2","1"))</f>
        <v>2</v>
      </c>
      <c r="C115" t="str">
        <f>IF(Sheet1!C115="","",Sheet1!C115)</f>
        <v>SE_OUT_FLIP_P1_SENSOR_CHECK</v>
      </c>
    </row>
    <row r="116" spans="1:3" x14ac:dyDescent="0.3">
      <c r="A116">
        <f>IF(Sheet1!A116="", "", Sheet1!A116)</f>
        <v>13104</v>
      </c>
      <c r="B116" t="str">
        <f>IF(Sheet1!U116="", "", IF(Sheet1!U116="HEAVY","2","1"))</f>
        <v>2</v>
      </c>
      <c r="C116" t="str">
        <f>IF(Sheet1!C116="","",Sheet1!C116)</f>
        <v>SE_OUT_FLIP_P1_VACUUM_OVERLAP</v>
      </c>
    </row>
    <row r="117" spans="1:3" x14ac:dyDescent="0.3">
      <c r="A117">
        <f>IF(Sheet1!A117="", "", Sheet1!A117)</f>
        <v>13105</v>
      </c>
      <c r="B117" t="str">
        <f>IF(Sheet1!U117="", "", IF(Sheet1!U117="HEAVY","2","1"))</f>
        <v>2</v>
      </c>
      <c r="C117" t="str">
        <f>IF(Sheet1!C117="","",Sheet1!C117)</f>
        <v>SE_OUT_FLIP_P1_SENSOR_OVERLAP</v>
      </c>
    </row>
    <row r="118" spans="1:3" x14ac:dyDescent="0.3">
      <c r="A118">
        <f>IF(Sheet1!A118="", "", Sheet1!A118)</f>
        <v>13110</v>
      </c>
      <c r="B118" t="str">
        <f>IF(Sheet1!U118="", "", IF(Sheet1!U118="HEAVY","2","1"))</f>
        <v>2</v>
      </c>
      <c r="C118" t="str">
        <f>IF(Sheet1!C118="","",Sheet1!C118)</f>
        <v>VC_OUT_FLIP_P2_VACUUM</v>
      </c>
    </row>
    <row r="119" spans="1:3" x14ac:dyDescent="0.3">
      <c r="A119">
        <f>IF(Sheet1!A119="", "", Sheet1!A119)</f>
        <v>13111</v>
      </c>
      <c r="B119" t="str">
        <f>IF(Sheet1!U119="", "", IF(Sheet1!U119="HEAVY","2","1"))</f>
        <v>2</v>
      </c>
      <c r="C119" t="str">
        <f>IF(Sheet1!C119="","",Sheet1!C119)</f>
        <v>VC_OUT_FLIP_P2_BLOW</v>
      </c>
    </row>
    <row r="120" spans="1:3" x14ac:dyDescent="0.3">
      <c r="A120">
        <f>IF(Sheet1!A120="", "", Sheet1!A120)</f>
        <v>13112</v>
      </c>
      <c r="B120" t="str">
        <f>IF(Sheet1!U120="", "", IF(Sheet1!U120="HEAVY","2","1"))</f>
        <v>2</v>
      </c>
      <c r="C120" t="str">
        <f>IF(Sheet1!C120="","",Sheet1!C120)</f>
        <v>SE_OUT_FLIP_P2_VACUUM_CHECK</v>
      </c>
    </row>
    <row r="121" spans="1:3" x14ac:dyDescent="0.3">
      <c r="A121">
        <f>IF(Sheet1!A121="", "", Sheet1!A121)</f>
        <v>13113</v>
      </c>
      <c r="B121" t="str">
        <f>IF(Sheet1!U121="", "", IF(Sheet1!U121="HEAVY","2","1"))</f>
        <v>2</v>
      </c>
      <c r="C121" t="str">
        <f>IF(Sheet1!C121="","",Sheet1!C121)</f>
        <v>SE_OUT_FLIP_P2_SENSOR_CHECK</v>
      </c>
    </row>
    <row r="122" spans="1:3" x14ac:dyDescent="0.3">
      <c r="A122">
        <f>IF(Sheet1!A122="", "", Sheet1!A122)</f>
        <v>13114</v>
      </c>
      <c r="B122" t="str">
        <f>IF(Sheet1!U122="", "", IF(Sheet1!U122="HEAVY","2","1"))</f>
        <v>2</v>
      </c>
      <c r="C122" t="str">
        <f>IF(Sheet1!C122="","",Sheet1!C122)</f>
        <v>SE_OUT_FLIP_P2_VACUUM_OVERLAP</v>
      </c>
    </row>
    <row r="123" spans="1:3" x14ac:dyDescent="0.3">
      <c r="A123">
        <f>IF(Sheet1!A123="", "", Sheet1!A123)</f>
        <v>13115</v>
      </c>
      <c r="B123" t="str">
        <f>IF(Sheet1!U123="", "", IF(Sheet1!U123="HEAVY","2","1"))</f>
        <v>2</v>
      </c>
      <c r="C123" t="str">
        <f>IF(Sheet1!C123="","",Sheet1!C123)</f>
        <v>SE_OUT_FLIP_P2_SENSOR_OVERLAP</v>
      </c>
    </row>
    <row r="124" spans="1:3" x14ac:dyDescent="0.3">
      <c r="A124">
        <f>IF(Sheet1!A124="", "", Sheet1!A124)</f>
        <v>13500</v>
      </c>
      <c r="B124" t="str">
        <f>IF(Sheet1!U124="", "", IF(Sheet1!U124="HEAVY","2","1"))</f>
        <v>2</v>
      </c>
      <c r="C124" t="str">
        <f>IF(Sheet1!C124="","",Sheet1!C124)</f>
        <v>MO_UNLOADER_CONVEYOR_X2_HOME_MOTION</v>
      </c>
    </row>
    <row r="125" spans="1:3" x14ac:dyDescent="0.3">
      <c r="A125">
        <f>IF(Sheet1!A125="", "", Sheet1!A125)</f>
        <v>13501</v>
      </c>
      <c r="B125" t="str">
        <f>IF(Sheet1!U125="", "", IF(Sheet1!U125="HEAVY","2","1"))</f>
        <v>2</v>
      </c>
      <c r="C125" t="str">
        <f>IF(Sheet1!C125="","",Sheet1!C125)</f>
        <v>MO_UNLOADER_CONVEYOR_X2_POSITION_RESET</v>
      </c>
    </row>
    <row r="126" spans="1:3" x14ac:dyDescent="0.3">
      <c r="A126">
        <f>IF(Sheet1!A126="", "", Sheet1!A126)</f>
        <v>13502</v>
      </c>
      <c r="B126" t="str">
        <f>IF(Sheet1!U126="", "", IF(Sheet1!U126="HEAVY","2","1"))</f>
        <v>2</v>
      </c>
      <c r="C126" t="str">
        <f>IF(Sheet1!C126="","",Sheet1!C126)</f>
        <v>MO_UNLOADER_CONVEYOR_X2_UNLOAD_MOVE</v>
      </c>
    </row>
    <row r="127" spans="1:3" x14ac:dyDescent="0.3">
      <c r="A127">
        <f>IF(Sheet1!A127="", "", Sheet1!A127)</f>
        <v>13503</v>
      </c>
      <c r="B127" t="str">
        <f>IF(Sheet1!U127="", "", IF(Sheet1!U127="HEAVY","2","1"))</f>
        <v>2</v>
      </c>
      <c r="C127" t="str">
        <f>IF(Sheet1!C127="","",Sheet1!C127)</f>
        <v>SE_UNLOADER_CONVEYOR_N_CELL_EXIST_CHECK</v>
      </c>
    </row>
    <row r="128" spans="1:3" x14ac:dyDescent="0.3">
      <c r="A128">
        <f>IF(Sheet1!A128="", "", Sheet1!A128)</f>
        <v>13504</v>
      </c>
      <c r="B128" t="str">
        <f>IF(Sheet1!U128="", "", IF(Sheet1!U128="HEAVY","2","1"))</f>
        <v>2</v>
      </c>
      <c r="C128" t="str">
        <f>IF(Sheet1!C128="","",Sheet1!C128)</f>
        <v>SE_UNLOADER_CONVEYOR_N_OUTPUT_BLOCKED_CHECK</v>
      </c>
    </row>
    <row r="129" spans="1:3" x14ac:dyDescent="0.3">
      <c r="A129">
        <f>IF(Sheet1!A129="", "", Sheet1!A129)</f>
        <v>13505</v>
      </c>
      <c r="B129" t="str">
        <f>IF(Sheet1!U129="", "", IF(Sheet1!U129="HEAVY","2","1"))</f>
        <v>2</v>
      </c>
      <c r="C129" t="str">
        <f>IF(Sheet1!C129="","",Sheet1!C129)</f>
        <v>SE_UNLOADER_CONVEYOR_P1_CELL_NOT_EXIST_CHECK</v>
      </c>
    </row>
    <row r="130" spans="1:3" x14ac:dyDescent="0.3">
      <c r="A130">
        <f>IF(Sheet1!A130="", "", Sheet1!A130)</f>
        <v>13506</v>
      </c>
      <c r="B130" t="str">
        <f>IF(Sheet1!U130="", "", IF(Sheet1!U130="HEAVY","2","1"))</f>
        <v>2</v>
      </c>
      <c r="C130" t="str">
        <f>IF(Sheet1!C130="","",Sheet1!C130)</f>
        <v>SE_UNLOADER_CONVEYOR_P2_CELL_NOT_EXIST_CHECK</v>
      </c>
    </row>
    <row r="131" spans="1:3" x14ac:dyDescent="0.3">
      <c r="A131">
        <f>IF(Sheet1!A131="", "", Sheet1!A131)</f>
        <v>13507</v>
      </c>
      <c r="B131" t="str">
        <f>IF(Sheet1!U131="", "", IF(Sheet1!U131="HEAVY","2","1"))</f>
        <v>2</v>
      </c>
      <c r="C131" t="str">
        <f>IF(Sheet1!C131="","",Sheet1!C131)</f>
        <v>SE_UNLOADER_CONVEYOR_ALL_CELL_NOT_EXIST_CHECK</v>
      </c>
    </row>
    <row r="132" spans="1:3" x14ac:dyDescent="0.3">
      <c r="A132">
        <f>IF(Sheet1!A132="", "", Sheet1!A132)</f>
        <v>14000</v>
      </c>
      <c r="B132" t="str">
        <f>IF(Sheet1!U132="", "", IF(Sheet1!U132="HEAVY","2","1"))</f>
        <v>2</v>
      </c>
      <c r="C132" t="str">
        <f>IF(Sheet1!C132="","",Sheet1!C132)</f>
        <v>EM_LOWER_EQUIPMENT_N_EMERGENCY_STATE</v>
      </c>
    </row>
    <row r="133" spans="1:3" x14ac:dyDescent="0.3">
      <c r="A133">
        <f>IF(Sheet1!A133="", "", Sheet1!A133)</f>
        <v>14001</v>
      </c>
      <c r="B133" t="str">
        <f>IF(Sheet1!U133="", "", IF(Sheet1!U133="HEAVY","2","1"))</f>
        <v>1</v>
      </c>
      <c r="C133" t="str">
        <f>IF(Sheet1!C133="","",Sheet1!C133)</f>
        <v>EM_LOWER_EQUIPMENT_DOOR_OPEN</v>
      </c>
    </row>
    <row r="134" spans="1:3" x14ac:dyDescent="0.3">
      <c r="A134">
        <f>IF(Sheet1!A134="", "", Sheet1!A134)</f>
        <v>20000</v>
      </c>
      <c r="B134" t="str">
        <f>IF(Sheet1!U134="", "", IF(Sheet1!U134="HEAVY","2","1"))</f>
        <v>1</v>
      </c>
      <c r="C134" t="str">
        <f>IF(Sheet1!C134="","",Sheet1!C134)</f>
        <v>VI_LOADER_MCR_P1_GRAB_TIMEOUT</v>
      </c>
    </row>
    <row r="135" spans="1:3" x14ac:dyDescent="0.3">
      <c r="A135">
        <f>IF(Sheet1!A135="", "", Sheet1!A135)</f>
        <v>20001</v>
      </c>
      <c r="B135" t="str">
        <f>IF(Sheet1!U135="", "", IF(Sheet1!U135="HEAVY","2","1"))</f>
        <v>1</v>
      </c>
      <c r="C135" t="str">
        <f>IF(Sheet1!C135="","",Sheet1!C135)</f>
        <v>VI_LOADER_MCR_P1_RESULT_TIMEOUT</v>
      </c>
    </row>
    <row r="136" spans="1:3" x14ac:dyDescent="0.3">
      <c r="A136">
        <f>IF(Sheet1!A136="", "", Sheet1!A136)</f>
        <v>20002</v>
      </c>
      <c r="B136" t="str">
        <f>IF(Sheet1!U136="", "", IF(Sheet1!U136="HEAVY","2","1"))</f>
        <v>2</v>
      </c>
      <c r="C136" t="str">
        <f>IF(Sheet1!C136="","",Sheet1!C136)</f>
        <v>VI_LOADER_MCR_P1_CONTINUOUS_FAILURE</v>
      </c>
    </row>
    <row r="137" spans="1:3" x14ac:dyDescent="0.3">
      <c r="A137">
        <f>IF(Sheet1!A137="", "", Sheet1!A137)</f>
        <v>20010</v>
      </c>
      <c r="B137" t="str">
        <f>IF(Sheet1!U137="", "", IF(Sheet1!U137="HEAVY","2","1"))</f>
        <v>1</v>
      </c>
      <c r="C137" t="str">
        <f>IF(Sheet1!C137="","",Sheet1!C137)</f>
        <v>VI_LOADER_MCR_P2_GRAB_TIMEOUT</v>
      </c>
    </row>
    <row r="138" spans="1:3" x14ac:dyDescent="0.3">
      <c r="A138">
        <f>IF(Sheet1!A138="", "", Sheet1!A138)</f>
        <v>20011</v>
      </c>
      <c r="B138" t="str">
        <f>IF(Sheet1!U138="", "", IF(Sheet1!U138="HEAVY","2","1"))</f>
        <v>1</v>
      </c>
      <c r="C138" t="str">
        <f>IF(Sheet1!C138="","",Sheet1!C138)</f>
        <v>VI_LOADER_MCR_P2_RESULT_TIMEOUT</v>
      </c>
    </row>
    <row r="139" spans="1:3" x14ac:dyDescent="0.3">
      <c r="A139">
        <f>IF(Sheet1!A139="", "", Sheet1!A139)</f>
        <v>20012</v>
      </c>
      <c r="B139" t="str">
        <f>IF(Sheet1!U139="", "", IF(Sheet1!U139="HEAVY","2","1"))</f>
        <v>2</v>
      </c>
      <c r="C139" t="str">
        <f>IF(Sheet1!C139="","",Sheet1!C139)</f>
        <v>VI_LOADER_MCR_P2_CONTINUOUS_FAILURE</v>
      </c>
    </row>
    <row r="140" spans="1:3" x14ac:dyDescent="0.3">
      <c r="A140">
        <f>IF(Sheet1!A140="", "", Sheet1!A140)</f>
        <v>20500</v>
      </c>
      <c r="B140" t="str">
        <f>IF(Sheet1!U140="", "", IF(Sheet1!U140="HEAVY","2","1"))</f>
        <v>2</v>
      </c>
      <c r="C140" t="str">
        <f>IF(Sheet1!C140="","",Sheet1!C140)</f>
        <v>CO_PRE_ALIGN_N_DISCONNECTED</v>
      </c>
    </row>
    <row r="141" spans="1:3" x14ac:dyDescent="0.3">
      <c r="A141">
        <f>IF(Sheet1!A141="", "", Sheet1!A141)</f>
        <v>20501</v>
      </c>
      <c r="B141" t="str">
        <f>IF(Sheet1!U141="", "", IF(Sheet1!U141="HEAVY","2","1"))</f>
        <v>2</v>
      </c>
      <c r="C141" t="str">
        <f>IF(Sheet1!C141="","",Sheet1!C141)</f>
        <v>VI_PRE_ALIGN_N_RECEIVE_ALIGN_ERROR</v>
      </c>
    </row>
    <row r="142" spans="1:3" x14ac:dyDescent="0.3">
      <c r="A142">
        <f>IF(Sheet1!A142="", "", Sheet1!A142)</f>
        <v>20502</v>
      </c>
      <c r="B142" t="str">
        <f>IF(Sheet1!U142="", "", IF(Sheet1!U142="HEAVY","2","1"))</f>
        <v>2</v>
      </c>
      <c r="C142" t="str">
        <f>IF(Sheet1!C142="","",Sheet1!C142)</f>
        <v>VI_PRE_ALIGN_N_MODEL_LIST_TIMEOUT</v>
      </c>
    </row>
    <row r="143" spans="1:3" x14ac:dyDescent="0.3">
      <c r="A143">
        <f>IF(Sheet1!A143="", "", Sheet1!A143)</f>
        <v>20503</v>
      </c>
      <c r="B143" t="str">
        <f>IF(Sheet1!U143="", "", IF(Sheet1!U143="HEAVY","2","1"))</f>
        <v>2</v>
      </c>
      <c r="C143" t="str">
        <f>IF(Sheet1!C143="","",Sheet1!C143)</f>
        <v>VI_PRE_ALIGN_N_MODEL_NOT_FOUND</v>
      </c>
    </row>
    <row r="144" spans="1:3" x14ac:dyDescent="0.3">
      <c r="A144">
        <f>IF(Sheet1!A144="", "", Sheet1!A144)</f>
        <v>20504</v>
      </c>
      <c r="B144" t="str">
        <f>IF(Sheet1!U144="", "", IF(Sheet1!U144="HEAVY","2","1"))</f>
        <v>2</v>
      </c>
      <c r="C144" t="str">
        <f>IF(Sheet1!C144="","",Sheet1!C144)</f>
        <v>VI_PRE_ALIGN_START_TIMEOUT</v>
      </c>
    </row>
    <row r="145" spans="1:3" x14ac:dyDescent="0.3">
      <c r="A145">
        <f>IF(Sheet1!A145="", "", Sheet1!A145)</f>
        <v>20505</v>
      </c>
      <c r="B145" t="str">
        <f>IF(Sheet1!U145="", "", IF(Sheet1!U145="HEAVY","2","1"))</f>
        <v>2</v>
      </c>
      <c r="C145" t="str">
        <f>IF(Sheet1!C145="","",Sheet1!C145)</f>
        <v>VI_PRE_ALIGN_COMPLETE_TIMEOUT</v>
      </c>
    </row>
    <row r="146" spans="1:3" x14ac:dyDescent="0.3">
      <c r="A146">
        <f>IF(Sheet1!A146="", "", Sheet1!A146)</f>
        <v>20506</v>
      </c>
      <c r="B146" t="str">
        <f>IF(Sheet1!U146="", "", IF(Sheet1!U146="HEAVY","2","1"))</f>
        <v>2</v>
      </c>
      <c r="C146" t="str">
        <f>IF(Sheet1!C146="","",Sheet1!C146)</f>
        <v>CO_PRE_ALIGN_COMPLETE_VALIDATION_FAIL</v>
      </c>
    </row>
    <row r="147" spans="1:3" x14ac:dyDescent="0.3">
      <c r="A147">
        <f>IF(Sheet1!A147="", "", Sheet1!A147)</f>
        <v>20507</v>
      </c>
      <c r="B147" t="str">
        <f>IF(Sheet1!U147="", "", IF(Sheet1!U147="HEAVY","2","1"))</f>
        <v>2</v>
      </c>
      <c r="C147" t="str">
        <f>IF(Sheet1!C147="","",Sheet1!C147)</f>
        <v>VI_PRE_ALIGN_P1_OVERRANGE_X</v>
      </c>
    </row>
    <row r="148" spans="1:3" x14ac:dyDescent="0.3">
      <c r="A148">
        <f>IF(Sheet1!A148="", "", Sheet1!A148)</f>
        <v>20508</v>
      </c>
      <c r="B148" t="str">
        <f>IF(Sheet1!U148="", "", IF(Sheet1!U148="HEAVY","2","1"))</f>
        <v>2</v>
      </c>
      <c r="C148" t="str">
        <f>IF(Sheet1!C148="","",Sheet1!C148)</f>
        <v>VI_PRE_ALIGN_P1_OVERRANGE_Y</v>
      </c>
    </row>
    <row r="149" spans="1:3" x14ac:dyDescent="0.3">
      <c r="A149">
        <f>IF(Sheet1!A149="", "", Sheet1!A149)</f>
        <v>20509</v>
      </c>
      <c r="B149" t="str">
        <f>IF(Sheet1!U149="", "", IF(Sheet1!U149="HEAVY","2","1"))</f>
        <v>2</v>
      </c>
      <c r="C149" t="str">
        <f>IF(Sheet1!C149="","",Sheet1!C149)</f>
        <v>VI_PRE_ALIGN_P1_OVERRANGE_T</v>
      </c>
    </row>
    <row r="150" spans="1:3" x14ac:dyDescent="0.3">
      <c r="A150">
        <f>IF(Sheet1!A150="", "", Sheet1!A150)</f>
        <v>20510</v>
      </c>
      <c r="B150" t="str">
        <f>IF(Sheet1!U150="", "", IF(Sheet1!U150="HEAVY","2","1"))</f>
        <v>2</v>
      </c>
      <c r="C150" t="str">
        <f>IF(Sheet1!C150="","",Sheet1!C150)</f>
        <v>VI_PRE_ALIGN_P1_OVERRANGE_SCORE</v>
      </c>
    </row>
    <row r="151" spans="1:3" x14ac:dyDescent="0.3">
      <c r="A151">
        <f>IF(Sheet1!A151="", "", Sheet1!A151)</f>
        <v>20511</v>
      </c>
      <c r="B151" t="str">
        <f>IF(Sheet1!U151="", "", IF(Sheet1!U151="HEAVY","2","1"))</f>
        <v>2</v>
      </c>
      <c r="C151" t="str">
        <f>IF(Sheet1!C151="","",Sheet1!C151)</f>
        <v>VI_PRE_ALIGN_P2_OVERRANGE_X</v>
      </c>
    </row>
    <row r="152" spans="1:3" x14ac:dyDescent="0.3">
      <c r="A152">
        <f>IF(Sheet1!A152="", "", Sheet1!A152)</f>
        <v>20512</v>
      </c>
      <c r="B152" t="str">
        <f>IF(Sheet1!U152="", "", IF(Sheet1!U152="HEAVY","2","1"))</f>
        <v>2</v>
      </c>
      <c r="C152" t="str">
        <f>IF(Sheet1!C152="","",Sheet1!C152)</f>
        <v>VI_PRE_ALIGN_P2_OVERRANGE_Y</v>
      </c>
    </row>
    <row r="153" spans="1:3" x14ac:dyDescent="0.3">
      <c r="A153">
        <f>IF(Sheet1!A153="", "", Sheet1!A153)</f>
        <v>20513</v>
      </c>
      <c r="B153" t="str">
        <f>IF(Sheet1!U153="", "", IF(Sheet1!U153="HEAVY","2","1"))</f>
        <v>2</v>
      </c>
      <c r="C153" t="str">
        <f>IF(Sheet1!C153="","",Sheet1!C153)</f>
        <v>VI_PRE_ALIGN_P2_OVERRANGE_T</v>
      </c>
    </row>
    <row r="154" spans="1:3" x14ac:dyDescent="0.3">
      <c r="A154">
        <f>IF(Sheet1!A154="", "", Sheet1!A154)</f>
        <v>20514</v>
      </c>
      <c r="B154" t="str">
        <f>IF(Sheet1!U154="", "", IF(Sheet1!U154="HEAVY","2","1"))</f>
        <v>2</v>
      </c>
      <c r="C154" t="str">
        <f>IF(Sheet1!C154="","",Sheet1!C154)</f>
        <v>VI_PRE_ALIGN_P2_OVERRANGE_SCORE</v>
      </c>
    </row>
    <row r="155" spans="1:3" x14ac:dyDescent="0.3">
      <c r="A155">
        <f>IF(Sheet1!A155="", "", Sheet1!A155)</f>
        <v>20515</v>
      </c>
      <c r="B155" t="str">
        <f>IF(Sheet1!U155="", "", IF(Sheet1!U155="HEAVY","2","1"))</f>
        <v>2</v>
      </c>
      <c r="C155" t="str">
        <f>IF(Sheet1!C155="","",Sheet1!C155)</f>
        <v>VI_PRE_ALIGN_RETRY_COUNTOVER</v>
      </c>
    </row>
    <row r="156" spans="1:3" x14ac:dyDescent="0.3">
      <c r="A156">
        <f>IF(Sheet1!A156="", "", Sheet1!A156)</f>
        <v>20550</v>
      </c>
      <c r="B156" t="str">
        <f>IF(Sheet1!U156="", "", IF(Sheet1!U156="HEAVY","2","1"))</f>
        <v>2</v>
      </c>
      <c r="C156" t="str">
        <f>IF(Sheet1!C156="","",Sheet1!C156)</f>
        <v>VI_PRE_ALIGN_ERROR_SYSTEM_NOT_RUNNING</v>
      </c>
    </row>
    <row r="157" spans="1:3" x14ac:dyDescent="0.3">
      <c r="A157">
        <f>IF(Sheet1!A157="", "", Sheet1!A157)</f>
        <v>20551</v>
      </c>
      <c r="B157" t="str">
        <f>IF(Sheet1!U157="", "", IF(Sheet1!U157="HEAVY","2","1"))</f>
        <v>2</v>
      </c>
      <c r="C157" t="str">
        <f>IF(Sheet1!C157="","",Sheet1!C157)</f>
        <v>VI_PRE_ALIGN_ERROR_CAMERA</v>
      </c>
    </row>
    <row r="158" spans="1:3" x14ac:dyDescent="0.3">
      <c r="A158">
        <f>IF(Sheet1!A158="", "", Sheet1!A158)</f>
        <v>20552</v>
      </c>
      <c r="B158" t="str">
        <f>IF(Sheet1!U158="", "", IF(Sheet1!U158="HEAVY","2","1"))</f>
        <v>2</v>
      </c>
      <c r="C158" t="str">
        <f>IF(Sheet1!C158="","",Sheet1!C158)</f>
        <v>VI_PRE_ALIGN_ERROR_LIGHT_CONTROLLER</v>
      </c>
    </row>
    <row r="159" spans="1:3" x14ac:dyDescent="0.3">
      <c r="A159">
        <f>IF(Sheet1!A159="", "", Sheet1!A159)</f>
        <v>20553</v>
      </c>
      <c r="B159" t="str">
        <f>IF(Sheet1!U159="", "", IF(Sheet1!U159="HEAVY","2","1"))</f>
        <v>2</v>
      </c>
      <c r="C159" t="str">
        <f>IF(Sheet1!C159="","",Sheet1!C159)</f>
        <v>VI_PRE_ALIGN_ERROR_LIGHT_TEMP_OVER</v>
      </c>
    </row>
    <row r="160" spans="1:3" x14ac:dyDescent="0.3">
      <c r="A160">
        <f>IF(Sheet1!A160="", "", Sheet1!A160)</f>
        <v>21000</v>
      </c>
      <c r="B160" t="str">
        <f>IF(Sheet1!U160="", "", IF(Sheet1!U160="HEAVY","2","1"))</f>
        <v>2</v>
      </c>
      <c r="C160" t="str">
        <f>IF(Sheet1!C160="","",Sheet1!C160)</f>
        <v>CO_INSP_PC_MAIN_N_DISCONNECTED</v>
      </c>
    </row>
    <row r="161" spans="1:3" x14ac:dyDescent="0.3">
      <c r="A161">
        <f>IF(Sheet1!A161="", "", Sheet1!A161)</f>
        <v>21001</v>
      </c>
      <c r="B161" t="str">
        <f>IF(Sheet1!U161="", "", IF(Sheet1!U161="HEAVY","2","1"))</f>
        <v>2</v>
      </c>
      <c r="C161" t="str">
        <f>IF(Sheet1!C161="","",Sheet1!C161)</f>
        <v>CO_INSP_PC_MAIN_LIGHT_INTENCITY_REQUEST</v>
      </c>
    </row>
    <row r="162" spans="1:3" x14ac:dyDescent="0.3">
      <c r="A162">
        <f>IF(Sheet1!A162="", "", Sheet1!A162)</f>
        <v>21002</v>
      </c>
      <c r="B162" t="str">
        <f>IF(Sheet1!U162="", "", IF(Sheet1!U162="HEAVY","2","1"))</f>
        <v>2</v>
      </c>
      <c r="C162" t="str">
        <f>IF(Sheet1!C162="","",Sheet1!C162)</f>
        <v>CO_INSP_PC_MAIN_LIGHT_TEMPERATURE_REQUEST</v>
      </c>
    </row>
    <row r="163" spans="1:3" x14ac:dyDescent="0.3">
      <c r="A163">
        <f>IF(Sheet1!A163="", "", Sheet1!A163)</f>
        <v>21003</v>
      </c>
      <c r="B163" t="str">
        <f>IF(Sheet1!U163="", "", IF(Sheet1!U163="HEAVY","2","1"))</f>
        <v>2</v>
      </c>
      <c r="C163" t="str">
        <f>IF(Sheet1!C163="","",Sheet1!C163)</f>
        <v>CO_INSP_PC_MAIN_CHECK_STATUS_SEND</v>
      </c>
    </row>
    <row r="164" spans="1:3" x14ac:dyDescent="0.3">
      <c r="A164">
        <f>IF(Sheet1!A164="", "", Sheet1!A164)</f>
        <v>21004</v>
      </c>
      <c r="B164" t="str">
        <f>IF(Sheet1!U164="", "", IF(Sheet1!U164="HEAVY","2","1"))</f>
        <v>2</v>
      </c>
      <c r="C164" t="str">
        <f>IF(Sheet1!C164="","",Sheet1!C164)</f>
        <v>CO_INSP_PC_MAIN_NOT_READY</v>
      </c>
    </row>
    <row r="165" spans="1:3" x14ac:dyDescent="0.3">
      <c r="A165">
        <f>IF(Sheet1!A165="", "", Sheet1!A165)</f>
        <v>21005</v>
      </c>
      <c r="B165" t="str">
        <f>IF(Sheet1!U165="", "", IF(Sheet1!U165="HEAVY","2","1"))</f>
        <v>2</v>
      </c>
      <c r="C165" t="str">
        <f>IF(Sheet1!C165="","",Sheet1!C165)</f>
        <v>CO_INSP_PC_MAIN_GRAB_START_SEND</v>
      </c>
    </row>
    <row r="166" spans="1:3" x14ac:dyDescent="0.3">
      <c r="A166">
        <f>IF(Sheet1!A166="", "", Sheet1!A166)</f>
        <v>21006</v>
      </c>
      <c r="B166" t="str">
        <f>IF(Sheet1!U166="", "", IF(Sheet1!U166="HEAVY","2","1"))</f>
        <v>2</v>
      </c>
      <c r="C166" t="str">
        <f>IF(Sheet1!C166="","",Sheet1!C166)</f>
        <v>CO_INSP_PC_MAIN_GRAB_START_VALIDATION</v>
      </c>
    </row>
    <row r="167" spans="1:3" x14ac:dyDescent="0.3">
      <c r="A167">
        <f>IF(Sheet1!A167="", "", Sheet1!A167)</f>
        <v>21007</v>
      </c>
      <c r="B167" t="str">
        <f>IF(Sheet1!U167="", "", IF(Sheet1!U167="HEAVY","2","1"))</f>
        <v>2</v>
      </c>
      <c r="C167" t="str">
        <f>IF(Sheet1!C167="","",Sheet1!C167)</f>
        <v>CO_INSP_PC_MAIN_GRAB_END_TIMEOUT</v>
      </c>
    </row>
    <row r="168" spans="1:3" x14ac:dyDescent="0.3">
      <c r="A168">
        <f>IF(Sheet1!A168="", "", Sheet1!A168)</f>
        <v>21008</v>
      </c>
      <c r="B168" t="str">
        <f>IF(Sheet1!U168="", "", IF(Sheet1!U168="HEAVY","2","1"))</f>
        <v>2</v>
      </c>
      <c r="C168" t="str">
        <f>IF(Sheet1!C168="","",Sheet1!C168)</f>
        <v>CO_INSP_PC_MAIN_GRAB_END_VALIDATION</v>
      </c>
    </row>
    <row r="169" spans="1:3" x14ac:dyDescent="0.3">
      <c r="A169">
        <f>IF(Sheet1!A169="", "", Sheet1!A169)</f>
        <v>21009</v>
      </c>
      <c r="B169" t="str">
        <f>IF(Sheet1!U169="", "", IF(Sheet1!U169="HEAVY","2","1"))</f>
        <v>1</v>
      </c>
      <c r="C169" t="str">
        <f>IF(Sheet1!C169="","",Sheet1!C169)</f>
        <v>IN_INSP_PC_MAIN_TOTAL_RESULT_TIMEOUT</v>
      </c>
    </row>
    <row r="170" spans="1:3" x14ac:dyDescent="0.3">
      <c r="A170">
        <f>IF(Sheet1!A170="", "", Sheet1!A170)</f>
        <v>21010</v>
      </c>
      <c r="B170" t="str">
        <f>IF(Sheet1!U170="", "", IF(Sheet1!U170="HEAVY","2","1"))</f>
        <v>2</v>
      </c>
      <c r="C170" t="str">
        <f>IF(Sheet1!C170="","",Sheet1!C170)</f>
        <v>IN_INSP_PC_MAIN_TOTAL_RESULT_NORESPONSE</v>
      </c>
    </row>
    <row r="171" spans="1:3" x14ac:dyDescent="0.3">
      <c r="A171">
        <f>IF(Sheet1!A171="", "", Sheet1!A171)</f>
        <v>21011</v>
      </c>
      <c r="B171" t="str">
        <f>IF(Sheet1!U171="", "", IF(Sheet1!U171="HEAVY","2","1"))</f>
        <v>2</v>
      </c>
      <c r="C171" t="str">
        <f>IF(Sheet1!C171="","",Sheet1!C171)</f>
        <v>CO_INSP_PC_MAIN_ERROR</v>
      </c>
    </row>
    <row r="172" spans="1:3" x14ac:dyDescent="0.3">
      <c r="A172">
        <f>IF(Sheet1!A172="", "", Sheet1!A172)</f>
        <v>21012</v>
      </c>
      <c r="B172" t="str">
        <f>IF(Sheet1!U172="", "", IF(Sheet1!U172="HEAVY","2","1"))</f>
        <v>2</v>
      </c>
      <c r="C172" t="str">
        <f>IF(Sheet1!C172="","",Sheet1!C172)</f>
        <v>CO_INSP_PC_MAIN_ERROR_SAME_POSITION_DEFECT</v>
      </c>
    </row>
    <row r="173" spans="1:3" x14ac:dyDescent="0.3">
      <c r="A173">
        <f>IF(Sheet1!A173="", "", Sheet1!A173)</f>
        <v>21013</v>
      </c>
      <c r="B173" t="str">
        <f>IF(Sheet1!U173="", "", IF(Sheet1!U173="HEAVY","2","1"))</f>
        <v>2</v>
      </c>
      <c r="C173" t="str">
        <f>IF(Sheet1!C173="","",Sheet1!C173)</f>
        <v>CO_INSP_PC_MAIN_ERROR_CAMERA</v>
      </c>
    </row>
    <row r="174" spans="1:3" x14ac:dyDescent="0.3">
      <c r="A174">
        <f>IF(Sheet1!A174="", "", Sheet1!A174)</f>
        <v>21014</v>
      </c>
      <c r="B174" t="str">
        <f>IF(Sheet1!U174="", "", IF(Sheet1!U174="HEAVY","2","1"))</f>
        <v>2</v>
      </c>
      <c r="C174" t="str">
        <f>IF(Sheet1!C174="","",Sheet1!C174)</f>
        <v>CO_INSP_PC_MAIN_ERROR_LIGHT_CONTROLLER</v>
      </c>
    </row>
    <row r="175" spans="1:3" x14ac:dyDescent="0.3">
      <c r="A175">
        <f>IF(Sheet1!A175="", "", Sheet1!A175)</f>
        <v>21015</v>
      </c>
      <c r="B175" t="str">
        <f>IF(Sheet1!U175="", "", IF(Sheet1!U175="HEAVY","2","1"))</f>
        <v>2</v>
      </c>
      <c r="C175" t="str">
        <f>IF(Sheet1!C175="","",Sheet1!C175)</f>
        <v>CO_INSP_PC_MAIN_CELL_DATA_SYNC_SEND</v>
      </c>
    </row>
    <row r="176" spans="1:3" x14ac:dyDescent="0.3">
      <c r="A176">
        <f>IF(Sheet1!A176="", "", Sheet1!A176)</f>
        <v>21016</v>
      </c>
      <c r="B176" t="str">
        <f>IF(Sheet1!U176="", "", IF(Sheet1!U176="HEAVY","2","1"))</f>
        <v>2</v>
      </c>
      <c r="C176" t="str">
        <f>IF(Sheet1!C176="","",Sheet1!C176)</f>
        <v>CO_INSP_PC_MAIN_CELL_DATA_SYNC_VALIDATION</v>
      </c>
    </row>
    <row r="177" spans="1:3" x14ac:dyDescent="0.3">
      <c r="A177">
        <f>IF(Sheet1!A177="", "", Sheet1!A177)</f>
        <v>21017</v>
      </c>
      <c r="B177" t="str">
        <f>IF(Sheet1!U177="", "", IF(Sheet1!U177="HEAVY","2","1"))</f>
        <v>2</v>
      </c>
      <c r="C177" t="str">
        <f>IF(Sheet1!C177="","",Sheet1!C177)</f>
        <v>CO_INSP_PC_MAIN_AMO_GRAB_START_SEND</v>
      </c>
    </row>
    <row r="178" spans="1:3" x14ac:dyDescent="0.3">
      <c r="A178">
        <f>IF(Sheet1!A178="", "", Sheet1!A178)</f>
        <v>21018</v>
      </c>
      <c r="B178" t="str">
        <f>IF(Sheet1!U178="", "", IF(Sheet1!U178="HEAVY","2","1"))</f>
        <v>2</v>
      </c>
      <c r="C178" t="str">
        <f>IF(Sheet1!C178="","",Sheet1!C178)</f>
        <v>CO_INSP_PC_MAIN_AMO_GRAB_START_VALIDATION</v>
      </c>
    </row>
    <row r="179" spans="1:3" x14ac:dyDescent="0.3">
      <c r="A179">
        <f>IF(Sheet1!A179="", "", Sheet1!A179)</f>
        <v>21019</v>
      </c>
      <c r="B179" t="str">
        <f>IF(Sheet1!U179="", "", IF(Sheet1!U179="HEAVY","2","1"))</f>
        <v>2</v>
      </c>
      <c r="C179" t="str">
        <f>IF(Sheet1!C179="","",Sheet1!C179)</f>
        <v>CO_INSP_PC_MAIN_AMO_GRAB_END_SEND</v>
      </c>
    </row>
    <row r="180" spans="1:3" x14ac:dyDescent="0.3">
      <c r="A180">
        <f>IF(Sheet1!A180="", "", Sheet1!A180)</f>
        <v>21020</v>
      </c>
      <c r="B180" t="str">
        <f>IF(Sheet1!U180="", "", IF(Sheet1!U180="HEAVY","2","1"))</f>
        <v>2</v>
      </c>
      <c r="C180" t="str">
        <f>IF(Sheet1!C180="","",Sheet1!C180)</f>
        <v>CO_INSP_PC_MAIN_AMO_GRAB_END_VALIDATION</v>
      </c>
    </row>
    <row r="181" spans="1:3" x14ac:dyDescent="0.3">
      <c r="A181">
        <f>IF(Sheet1!A181="", "", Sheet1!A181)</f>
        <v>29500</v>
      </c>
      <c r="B181" t="str">
        <f>IF(Sheet1!U181="", "", IF(Sheet1!U181="HEAVY","2","1"))</f>
        <v>1</v>
      </c>
      <c r="C181" t="str">
        <f>IF(Sheet1!C181="","",Sheet1!C181)</f>
        <v>VA_TRANSFER_CIM_P1_TRACKING_FAILED</v>
      </c>
    </row>
    <row r="182" spans="1:3" x14ac:dyDescent="0.3">
      <c r="A182">
        <f>IF(Sheet1!A182="", "", Sheet1!A182)</f>
        <v>29501</v>
      </c>
      <c r="B182" t="str">
        <f>IF(Sheet1!U182="", "", IF(Sheet1!U182="HEAVY","2","1"))</f>
        <v>1</v>
      </c>
      <c r="C182" t="str">
        <f>IF(Sheet1!C182="","",Sheet1!C182)</f>
        <v>VA_TRANSFER_CIM_P1_TRACKING_TIMEOUT</v>
      </c>
    </row>
    <row r="183" spans="1:3" x14ac:dyDescent="0.3">
      <c r="A183">
        <f>IF(Sheet1!A183="", "", Sheet1!A183)</f>
        <v>29502</v>
      </c>
      <c r="B183" t="str">
        <f>IF(Sheet1!U183="", "", IF(Sheet1!U183="HEAVY","2","1"))</f>
        <v>1</v>
      </c>
      <c r="C183" t="str">
        <f>IF(Sheet1!C183="","",Sheet1!C183)</f>
        <v>VA_TRANSFER_CIM_P1_TRACKING_MISSMATCH</v>
      </c>
    </row>
    <row r="184" spans="1:3" x14ac:dyDescent="0.3">
      <c r="A184">
        <f>IF(Sheet1!A184="", "", Sheet1!A184)</f>
        <v>29510</v>
      </c>
      <c r="B184" t="str">
        <f>IF(Sheet1!U184="", "", IF(Sheet1!U184="HEAVY","2","1"))</f>
        <v>1</v>
      </c>
      <c r="C184" t="str">
        <f>IF(Sheet1!C184="","",Sheet1!C184)</f>
        <v>VA_TRANSFER_CIM_P1_CELL_INFORMATION_DOWNLOAD_FAILED</v>
      </c>
    </row>
    <row r="185" spans="1:3" x14ac:dyDescent="0.3">
      <c r="A185">
        <f>IF(Sheet1!A185="", "", Sheet1!A185)</f>
        <v>29511</v>
      </c>
      <c r="B185" t="str">
        <f>IF(Sheet1!U185="", "", IF(Sheet1!U185="HEAVY","2","1"))</f>
        <v>1</v>
      </c>
      <c r="C185" t="str">
        <f>IF(Sheet1!C185="","",Sheet1!C185)</f>
        <v>VA_TRANSFER_CIM_P1_CELL_INFORMATION_DOWNLOAD_TIMEOUT</v>
      </c>
    </row>
    <row r="186" spans="1:3" x14ac:dyDescent="0.3">
      <c r="A186">
        <f>IF(Sheet1!A186="", "", Sheet1!A186)</f>
        <v>29512</v>
      </c>
      <c r="B186" t="str">
        <f>IF(Sheet1!U186="", "", IF(Sheet1!U186="HEAVY","2","1"))</f>
        <v>1</v>
      </c>
      <c r="C186" t="str">
        <f>IF(Sheet1!C186="","",Sheet1!C186)</f>
        <v>VA_TRANSFER_CIM_P1_CELL_INFORMATION_DOWNLOAD_MISSMATCH</v>
      </c>
    </row>
    <row r="187" spans="1:3" x14ac:dyDescent="0.3">
      <c r="A187">
        <f>IF(Sheet1!A187="", "", Sheet1!A187)</f>
        <v>29600</v>
      </c>
      <c r="B187" t="str">
        <f>IF(Sheet1!U187="", "", IF(Sheet1!U187="HEAVY","2","1"))</f>
        <v>1</v>
      </c>
      <c r="C187" t="str">
        <f>IF(Sheet1!C187="","",Sheet1!C187)</f>
        <v>VA_TRANSFER_CIM_P2_TRACKING_FAILED</v>
      </c>
    </row>
    <row r="188" spans="1:3" x14ac:dyDescent="0.3">
      <c r="A188">
        <f>IF(Sheet1!A188="", "", Sheet1!A188)</f>
        <v>29601</v>
      </c>
      <c r="B188" t="str">
        <f>IF(Sheet1!U188="", "", IF(Sheet1!U188="HEAVY","2","1"))</f>
        <v>1</v>
      </c>
      <c r="C188" t="str">
        <f>IF(Sheet1!C188="","",Sheet1!C188)</f>
        <v>VA_TRANSFER_CIM_P2_TRACKING_TIMEOUT</v>
      </c>
    </row>
    <row r="189" spans="1:3" x14ac:dyDescent="0.3">
      <c r="A189">
        <f>IF(Sheet1!A189="", "", Sheet1!A189)</f>
        <v>29602</v>
      </c>
      <c r="B189" t="str">
        <f>IF(Sheet1!U189="", "", IF(Sheet1!U189="HEAVY","2","1"))</f>
        <v>1</v>
      </c>
      <c r="C189" t="str">
        <f>IF(Sheet1!C189="","",Sheet1!C189)</f>
        <v>VA_TRANSFER_CIM_P2_TRACKING_MISSMATCH</v>
      </c>
    </row>
    <row r="190" spans="1:3" x14ac:dyDescent="0.3">
      <c r="A190">
        <f>IF(Sheet1!A190="", "", Sheet1!A190)</f>
        <v>29610</v>
      </c>
      <c r="B190" t="str">
        <f>IF(Sheet1!U190="", "", IF(Sheet1!U190="HEAVY","2","1"))</f>
        <v>1</v>
      </c>
      <c r="C190" t="str">
        <f>IF(Sheet1!C190="","",Sheet1!C190)</f>
        <v>VA_TRANSFER_CIM_P2_CELL_INFORMATION_DOWNLOAD_FAILED</v>
      </c>
    </row>
    <row r="191" spans="1:3" x14ac:dyDescent="0.3">
      <c r="A191">
        <f>IF(Sheet1!A191="", "", Sheet1!A191)</f>
        <v>29611</v>
      </c>
      <c r="B191" t="str">
        <f>IF(Sheet1!U191="", "", IF(Sheet1!U191="HEAVY","2","1"))</f>
        <v>1</v>
      </c>
      <c r="C191" t="str">
        <f>IF(Sheet1!C191="","",Sheet1!C191)</f>
        <v>VA_TRANSFER_CIM_P2_CELL_INFORMATION_DOWNLOAD_TIMEOUT</v>
      </c>
    </row>
    <row r="192" spans="1:3" x14ac:dyDescent="0.3">
      <c r="A192">
        <f>IF(Sheet1!A192="", "", Sheet1!A192)</f>
        <v>29612</v>
      </c>
      <c r="B192" t="str">
        <f>IF(Sheet1!U192="", "", IF(Sheet1!U192="HEAVY","2","1"))</f>
        <v>1</v>
      </c>
      <c r="C192" t="str">
        <f>IF(Sheet1!C192="","",Sheet1!C192)</f>
        <v>VA_TRANSFER_CIM_P2_CELL_INFORMATION_DOWNLOAD_MISSMATCH</v>
      </c>
    </row>
    <row r="193" spans="1:3" x14ac:dyDescent="0.3">
      <c r="A193">
        <f>IF(Sheet1!A193="", "", Sheet1!A193)</f>
        <v>29998</v>
      </c>
      <c r="B193" t="str">
        <f>IF(Sheet1!U193="", "", IF(Sheet1!U193="HEAVY","2","1"))</f>
        <v>2</v>
      </c>
      <c r="C193" t="str">
        <f>IF(Sheet1!C193="","",Sheet1!C193)</f>
        <v>CO_TRANSFER_CIM_N_HOST_DISCONNECTED</v>
      </c>
    </row>
    <row r="194" spans="1:3" x14ac:dyDescent="0.3">
      <c r="A194">
        <f>IF(Sheet1!A194="", "", Sheet1!A194)</f>
        <v>29999</v>
      </c>
      <c r="B194" t="str">
        <f>IF(Sheet1!U194="", "", IF(Sheet1!U194="HEAVY","2","1"))</f>
        <v>2</v>
      </c>
      <c r="C194" t="str">
        <f>IF(Sheet1!C194="","",Sheet1!C194)</f>
        <v>CO_TRANSFER_CIM_N_CIM_DISCONNECTED</v>
      </c>
    </row>
    <row r="195" spans="1:3" x14ac:dyDescent="0.3">
      <c r="A195">
        <f>IF(Sheet1!A195="", "", Sheet1!A195)</f>
        <v>30000</v>
      </c>
      <c r="B195" t="str">
        <f>IF(Sheet1!U195="", "", IF(Sheet1!U195="HEAVY","2","1"))</f>
        <v>2</v>
      </c>
      <c r="C195" t="str">
        <f>IF(Sheet1!C195="","",Sheet1!C195)</f>
        <v>UT_MAIN_ELECTRONICBOX_TEMPERATURE_1_N_OVER40</v>
      </c>
    </row>
    <row r="196" spans="1:3" x14ac:dyDescent="0.3">
      <c r="A196">
        <f>IF(Sheet1!A196="", "", Sheet1!A196)</f>
        <v>30001</v>
      </c>
      <c r="B196" t="str">
        <f>IF(Sheet1!U196="", "", IF(Sheet1!U196="HEAVY","2","1"))</f>
        <v>2</v>
      </c>
      <c r="C196" t="str">
        <f>IF(Sheet1!C196="","",Sheet1!C196)</f>
        <v>UT_MAIN_PCRACK_TEMPERATURE_1_N_OVER40</v>
      </c>
    </row>
    <row r="197" spans="1:3" x14ac:dyDescent="0.3">
      <c r="A197">
        <f>IF(Sheet1!A197="", "", Sheet1!A197)</f>
        <v>30002</v>
      </c>
      <c r="B197" t="str">
        <f>IF(Sheet1!U197="", "", IF(Sheet1!U197="HEAVY","2","1"))</f>
        <v>2</v>
      </c>
      <c r="C197" t="str">
        <f>IF(Sheet1!C197="","",Sheet1!C197)</f>
        <v>UT_MAIN_ELECTRONICBOX_SMOKE_SENSOR_1_N_DETECTED</v>
      </c>
    </row>
    <row r="198" spans="1:3" x14ac:dyDescent="0.3">
      <c r="A198">
        <f>IF(Sheet1!A198="", "", Sheet1!A198)</f>
        <v>30003</v>
      </c>
      <c r="B198" t="str">
        <f>IF(Sheet1!U198="", "", IF(Sheet1!U198="HEAVY","2","1"))</f>
        <v>2</v>
      </c>
      <c r="C198" t="str">
        <f>IF(Sheet1!C198="","",Sheet1!C198)</f>
        <v>UT_MAIN_SAFETYPLC_GPS_MC_POWER_OFF</v>
      </c>
    </row>
    <row r="199" spans="1:3" x14ac:dyDescent="0.3">
      <c r="A199">
        <f>IF(Sheet1!A199="", "", Sheet1!A199)</f>
        <v>30004</v>
      </c>
      <c r="B199" t="str">
        <f>IF(Sheet1!U199="", "", IF(Sheet1!U199="HEAVY","2","1"))</f>
        <v>2</v>
      </c>
      <c r="C199" t="str">
        <f>IF(Sheet1!C199="","",Sheet1!C199)</f>
        <v>CO_MAIN_DEVICE_MCU_DISCONNECTED</v>
      </c>
    </row>
    <row r="200" spans="1:3" x14ac:dyDescent="0.3">
      <c r="A200">
        <f>IF(Sheet1!A200="", "", Sheet1!A200)</f>
        <v>30005</v>
      </c>
      <c r="B200" t="str">
        <f>IF(Sheet1!U200="", "", IF(Sheet1!U200="HEAVY","2","1"))</f>
        <v>2</v>
      </c>
      <c r="C200" t="str">
        <f>IF(Sheet1!C200="","",Sheet1!C200)</f>
        <v>CO_MAIN_DEVICE_GMS_DISCONNECTED</v>
      </c>
    </row>
    <row r="201" spans="1:3" x14ac:dyDescent="0.3">
      <c r="A201">
        <f>IF(Sheet1!A201="", "", Sheet1!A201)</f>
        <v>30006</v>
      </c>
      <c r="B201" t="str">
        <f>IF(Sheet1!U201="", "", IF(Sheet1!U201="HEAVY","2","1"))</f>
        <v>2</v>
      </c>
      <c r="C201" t="str">
        <f>IF(Sheet1!C201="","",Sheet1!C201)</f>
        <v>CO_MAIN_ELECTRONICBOX_TEMPERATURE_DISCONNECTED</v>
      </c>
    </row>
    <row r="202" spans="1:3" x14ac:dyDescent="0.3">
      <c r="A202">
        <f>IF(Sheet1!A202="", "", Sheet1!A202)</f>
        <v>30007</v>
      </c>
      <c r="B202" t="str">
        <f>IF(Sheet1!U202="", "", IF(Sheet1!U202="HEAVY","2","1"))</f>
        <v>2</v>
      </c>
      <c r="C202" t="str">
        <f>IF(Sheet1!C202="","",Sheet1!C202)</f>
        <v>CO_MAIN_PCRACK_TEMPERATURE_DISCONNECTED</v>
      </c>
    </row>
    <row r="203" spans="1:3" x14ac:dyDescent="0.3">
      <c r="A203">
        <f>IF(Sheet1!A203="", "", Sheet1!A203)</f>
        <v>30008</v>
      </c>
      <c r="B203" t="str">
        <f>IF(Sheet1!U203="", "", IF(Sheet1!U203="HEAVY","2","1"))</f>
        <v>2</v>
      </c>
      <c r="C203" t="str">
        <f>IF(Sheet1!C203="","",Sheet1!C203)</f>
        <v>OP_MAIN_MODEKEY_N_TEACH</v>
      </c>
    </row>
    <row r="204" spans="1:3" x14ac:dyDescent="0.3">
      <c r="A204">
        <f>IF(Sheet1!A204="", "", Sheet1!A204)</f>
        <v>30009</v>
      </c>
      <c r="B204" t="str">
        <f>IF(Sheet1!U204="", "", IF(Sheet1!U204="HEAVY","2","1"))</f>
        <v>2</v>
      </c>
      <c r="C204" t="str">
        <f>IF(Sheet1!C204="","",Sheet1!C204)</f>
        <v>OP_MAIN_UNIT_ALL_STOP</v>
      </c>
    </row>
    <row r="205" spans="1:3" x14ac:dyDescent="0.3">
      <c r="A205">
        <f>IF(Sheet1!A205="", "", Sheet1!A205)</f>
        <v>30010</v>
      </c>
      <c r="B205" t="str">
        <f>IF(Sheet1!U205="", "", IF(Sheet1!U205="HEAVY","2","1"))</f>
        <v>2</v>
      </c>
      <c r="C205" t="str">
        <f>IF(Sheet1!C205="","",Sheet1!C205)</f>
        <v>VC_MAIN_VACUUM_MAIN_SUPPLY</v>
      </c>
    </row>
    <row r="206" spans="1:3" x14ac:dyDescent="0.3">
      <c r="A206">
        <f>IF(Sheet1!A206="", "", Sheet1!A206)</f>
        <v>30011</v>
      </c>
      <c r="B206" t="str">
        <f>IF(Sheet1!U206="", "", IF(Sheet1!U206="HEAVY","2","1"))</f>
        <v>2</v>
      </c>
      <c r="C206" t="str">
        <f>IF(Sheet1!C206="","",Sheet1!C206)</f>
        <v>VC_INSP_STAGE_VACUUM_MAIN_SUPPLY</v>
      </c>
    </row>
    <row r="207" spans="1:3" x14ac:dyDescent="0.3">
      <c r="A207">
        <f>IF(Sheet1!A207="", "", Sheet1!A207)</f>
        <v>30012</v>
      </c>
      <c r="B207" t="str">
        <f>IF(Sheet1!U207="", "", IF(Sheet1!U207="HEAVY","2","1"))</f>
        <v>2</v>
      </c>
      <c r="C207" t="str">
        <f>IF(Sheet1!C207="","",Sheet1!C207)</f>
        <v>VC_MAIN_AIR_MAIN_N_SUPPLY</v>
      </c>
    </row>
    <row r="208" spans="1:3" x14ac:dyDescent="0.3">
      <c r="A208">
        <f>IF(Sheet1!A208="", "", Sheet1!A208)</f>
        <v>30013</v>
      </c>
      <c r="B208" t="str">
        <f>IF(Sheet1!U208="", "", IF(Sheet1!U208="HEAVY","2","1"))</f>
        <v>1</v>
      </c>
      <c r="C208" t="str">
        <f>IF(Sheet1!C208="","",Sheet1!C208)</f>
        <v>UT_MAIN_ELECTRONICBOX_FAN_1_STOP</v>
      </c>
    </row>
    <row r="209" spans="1:3" x14ac:dyDescent="0.3">
      <c r="A209">
        <f>IF(Sheet1!A209="", "", Sheet1!A209)</f>
        <v>30014</v>
      </c>
      <c r="B209" t="str">
        <f>IF(Sheet1!U209="", "", IF(Sheet1!U209="HEAVY","2","1"))</f>
        <v>1</v>
      </c>
      <c r="C209" t="str">
        <f>IF(Sheet1!C209="","",Sheet1!C209)</f>
        <v>UT_MAIN_ELECTRONICBOX_FAN_2_STOP</v>
      </c>
    </row>
    <row r="210" spans="1:3" x14ac:dyDescent="0.3">
      <c r="A210">
        <f>IF(Sheet1!A210="", "", Sheet1!A210)</f>
        <v>30015</v>
      </c>
      <c r="B210" t="str">
        <f>IF(Sheet1!U210="", "", IF(Sheet1!U210="HEAVY","2","1"))</f>
        <v>1</v>
      </c>
      <c r="C210" t="str">
        <f>IF(Sheet1!C210="","",Sheet1!C210)</f>
        <v>UT_MAIN_MCU_FFU_1_STOP</v>
      </c>
    </row>
    <row r="211" spans="1:3" x14ac:dyDescent="0.3">
      <c r="A211">
        <f>IF(Sheet1!A211="", "", Sheet1!A211)</f>
        <v>30016</v>
      </c>
      <c r="B211" t="str">
        <f>IF(Sheet1!U211="", "", IF(Sheet1!U211="HEAVY","2","1"))</f>
        <v>1</v>
      </c>
      <c r="C211" t="str">
        <f>IF(Sheet1!C211="","",Sheet1!C211)</f>
        <v>UT_MAIN_MCU_FFU_1_ALARM_OCCURRED</v>
      </c>
    </row>
    <row r="212" spans="1:3" x14ac:dyDescent="0.3">
      <c r="A212">
        <f>IF(Sheet1!A212="", "", Sheet1!A212)</f>
        <v>30100</v>
      </c>
      <c r="B212" t="str">
        <f>IF(Sheet1!U212="", "", IF(Sheet1!U212="HEAVY","2","1"))</f>
        <v>2</v>
      </c>
      <c r="C212" t="str">
        <f>IF(Sheet1!C212="","",Sheet1!C212)</f>
        <v>EM_MAIN_CONTROLPANEL_FRONT_EMS_X000</v>
      </c>
    </row>
    <row r="213" spans="1:3" x14ac:dyDescent="0.3">
      <c r="A213">
        <f>IF(Sheet1!A213="", "", Sheet1!A213)</f>
        <v>30101</v>
      </c>
      <c r="B213" t="str">
        <f>IF(Sheet1!U213="", "", IF(Sheet1!U213="HEAVY","2","1"))</f>
        <v>2</v>
      </c>
      <c r="C213" t="str">
        <f>IF(Sheet1!C213="","",Sheet1!C213)</f>
        <v>EM_MAIN_CONTROLPANEL_REAR_EMS_X001</v>
      </c>
    </row>
    <row r="214" spans="1:3" x14ac:dyDescent="0.3">
      <c r="A214">
        <f>IF(Sheet1!A214="", "", Sheet1!A214)</f>
        <v>30102</v>
      </c>
      <c r="B214" t="str">
        <f>IF(Sheet1!U214="", "", IF(Sheet1!U214="HEAVY","2","1"))</f>
        <v>2</v>
      </c>
      <c r="C214" t="str">
        <f>IF(Sheet1!C214="","",Sheet1!C214)</f>
        <v>EM_TRANSFER_ROBOT_IN_PENDANT_EMS</v>
      </c>
    </row>
    <row r="215" spans="1:3" x14ac:dyDescent="0.3">
      <c r="A215">
        <f>IF(Sheet1!A215="", "", Sheet1!A215)</f>
        <v>30103</v>
      </c>
      <c r="B215" t="str">
        <f>IF(Sheet1!U215="", "", IF(Sheet1!U215="HEAVY","2","1"))</f>
        <v>2</v>
      </c>
      <c r="C215" t="str">
        <f>IF(Sheet1!C215="","",Sheet1!C215)</f>
        <v>EM_TRANSFER_ROBOT_IN_CONTROLLER_EMS</v>
      </c>
    </row>
    <row r="216" spans="1:3" x14ac:dyDescent="0.3">
      <c r="A216">
        <f>IF(Sheet1!A216="", "", Sheet1!A216)</f>
        <v>30104</v>
      </c>
      <c r="B216" t="str">
        <f>IF(Sheet1!U216="", "", IF(Sheet1!U216="HEAVY","2","1"))</f>
        <v>2</v>
      </c>
      <c r="C216" t="str">
        <f>IF(Sheet1!C216="","",Sheet1!C216)</f>
        <v>EM_TRANSFER_ROBOT_OUT_PENDANT_EMS</v>
      </c>
    </row>
    <row r="217" spans="1:3" x14ac:dyDescent="0.3">
      <c r="A217">
        <f>IF(Sheet1!A217="", "", Sheet1!A217)</f>
        <v>30105</v>
      </c>
      <c r="B217" t="str">
        <f>IF(Sheet1!U217="", "", IF(Sheet1!U217="HEAVY","2","1"))</f>
        <v>2</v>
      </c>
      <c r="C217" t="str">
        <f>IF(Sheet1!C217="","",Sheet1!C217)</f>
        <v>EM_TRANSFER_ROBOT_OUT_CONTROLLER_EMS</v>
      </c>
    </row>
    <row r="218" spans="1:3" x14ac:dyDescent="0.3">
      <c r="A218">
        <f>IF(Sheet1!A218="", "", Sheet1!A218)</f>
        <v>30106</v>
      </c>
      <c r="B218" t="str">
        <f>IF(Sheet1!U218="", "", IF(Sheet1!U218="HEAVY","2","1"))</f>
        <v>2</v>
      </c>
      <c r="C218" t="str">
        <f>IF(Sheet1!C218="","",Sheet1!C218)</f>
        <v>DO_MAIN_ANY_DOOR_FORECE_RELEASED_X02A</v>
      </c>
    </row>
    <row r="219" spans="1:3" x14ac:dyDescent="0.3">
      <c r="A219">
        <f>IF(Sheet1!A219="", "", Sheet1!A219)</f>
        <v>40000</v>
      </c>
      <c r="B219" t="str">
        <f>IF(Sheet1!U219="", "", IF(Sheet1!U219="HEAVY","2","1"))</f>
        <v>2</v>
      </c>
      <c r="C219" t="str">
        <f>IF(Sheet1!C219="","",Sheet1!C219)</f>
        <v>EF_PREFORM4_MAIN_EQUIPMENT_SILENT_STOP</v>
      </c>
    </row>
    <row r="220" spans="1:3" x14ac:dyDescent="0.3">
      <c r="A220">
        <f>IF(Sheet1!A220="", "", Sheet1!A220)</f>
        <v>40001</v>
      </c>
      <c r="B220" t="str">
        <f>IF(Sheet1!U220="", "", IF(Sheet1!U220="HEAVY","2","1"))</f>
        <v>1</v>
      </c>
      <c r="C220" t="str">
        <f>IF(Sheet1!C220="","",Sheet1!C220)</f>
        <v>EF_IN_SHUTTLE_CELL_DAMAGED_CHECK</v>
      </c>
    </row>
    <row r="221" spans="1:3" x14ac:dyDescent="0.3">
      <c r="A221">
        <f>IF(Sheet1!A221="", "", Sheet1!A221)</f>
        <v>40002</v>
      </c>
      <c r="B221" t="str">
        <f>IF(Sheet1!U221="", "", IF(Sheet1!U221="HEAVY","2","1"))</f>
        <v>1</v>
      </c>
      <c r="C221" t="str">
        <f>IF(Sheet1!C221="","",Sheet1!C221)</f>
        <v>EF_IN_ROBOT_CELL_DAMAGED_CHECK</v>
      </c>
    </row>
    <row r="222" spans="1:3" x14ac:dyDescent="0.3">
      <c r="A222">
        <f>IF(Sheet1!A222="", "", Sheet1!A222)</f>
        <v>40003</v>
      </c>
      <c r="B222" t="str">
        <f>IF(Sheet1!U222="", "", IF(Sheet1!U222="HEAVY","2","1"))</f>
        <v>1</v>
      </c>
      <c r="C222" t="str">
        <f>IF(Sheet1!C222="","",Sheet1!C222)</f>
        <v>EF_INSP_STAGE_CELL_DAMAGED_CHECK</v>
      </c>
    </row>
    <row r="223" spans="1:3" x14ac:dyDescent="0.3">
      <c r="A223">
        <f>IF(Sheet1!A223="", "", Sheet1!A223)</f>
        <v>40004</v>
      </c>
      <c r="B223" t="str">
        <f>IF(Sheet1!U223="", "", IF(Sheet1!U223="HEAVY","2","1"))</f>
        <v>1</v>
      </c>
      <c r="C223" t="str">
        <f>IF(Sheet1!C223="","",Sheet1!C223)</f>
        <v>EF_OUT_ROBOT_CELL_DAMAGED_CHECK</v>
      </c>
    </row>
    <row r="224" spans="1:3" x14ac:dyDescent="0.3">
      <c r="A224">
        <f>IF(Sheet1!A224="", "", Sheet1!A224)</f>
        <v>40005</v>
      </c>
      <c r="B224" t="str">
        <f>IF(Sheet1!U224="", "", IF(Sheet1!U224="HEAVY","2","1"))</f>
        <v>1</v>
      </c>
      <c r="C224" t="str">
        <f>IF(Sheet1!C224="","",Sheet1!C224)</f>
        <v>EF_OUT_FLIP_CELL_DAMAGED_CHECK</v>
      </c>
    </row>
    <row r="225" spans="1:3" x14ac:dyDescent="0.3">
      <c r="A225" t="str">
        <f>IF(Sheet1!A225="", "", Sheet1!A225)</f>
        <v/>
      </c>
      <c r="B225" t="str">
        <f>IF(Sheet1!U225="", "", IF(Sheet1!U225="HEAVY","2","1"))</f>
        <v/>
      </c>
      <c r="C225" t="str">
        <f>IF(Sheet1!C225="","",Sheet1!C225)</f>
        <v/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알람 범위</vt:lpstr>
      <vt:lpstr>EnumMaker</vt:lpstr>
      <vt:lpstr>OSS Alarm Sheet</vt:lpstr>
      <vt:lpstr>URCIS Alarm Sheet</vt:lpstr>
      <vt:lpstr>Hellopeople Alarm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HYNTAE JUNG</dc:creator>
  <cp:lastModifiedBy>user</cp:lastModifiedBy>
  <dcterms:created xsi:type="dcterms:W3CDTF">2018-04-15T05:52:45Z</dcterms:created>
  <dcterms:modified xsi:type="dcterms:W3CDTF">2026-06-08T15:14:13Z</dcterms:modified>
</cp:coreProperties>
</file>