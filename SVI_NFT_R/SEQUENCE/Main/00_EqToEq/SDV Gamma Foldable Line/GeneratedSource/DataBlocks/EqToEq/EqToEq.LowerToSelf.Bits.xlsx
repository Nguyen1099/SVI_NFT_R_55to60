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.Project\2025\E2508A-113~115 SDV 박닌 V3 NFT SVI-M 대응(2Cell)\Application\Source\SVI_NFT_F\SVI_NFT_F\SEQUENCE\Main\00_EqToEq\SDV Gamma Foldable Line\GeneratedSource\DataBlock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7" i="1"/>
  <c r="G7" i="1"/>
  <c r="B6" i="1" l="1"/>
  <c r="C6" i="1"/>
  <c r="G6" i="1"/>
  <c r="B10" i="1" l="1"/>
  <c r="C10" i="1"/>
  <c r="G10" i="1"/>
  <c r="G9" i="1" l="1"/>
  <c r="C9" i="1"/>
  <c r="B9" i="1"/>
  <c r="B8" i="1" l="1"/>
  <c r="C8" i="1"/>
  <c r="G8" i="1"/>
  <c r="G3" i="1" l="1"/>
  <c r="G4" i="1"/>
  <c r="G5" i="1"/>
  <c r="G11" i="1"/>
  <c r="G12" i="1"/>
  <c r="G13" i="1"/>
  <c r="G2" i="1"/>
  <c r="C3" i="1" l="1"/>
  <c r="C4" i="1"/>
  <c r="C5" i="1"/>
  <c r="C11" i="1"/>
  <c r="C12" i="1"/>
  <c r="C13" i="1"/>
  <c r="B3" i="1"/>
  <c r="B4" i="1"/>
  <c r="B5" i="1"/>
  <c r="B11" i="1"/>
  <c r="B12" i="1"/>
  <c r="B13" i="1"/>
  <c r="C2" i="1"/>
  <c r="B2" i="1"/>
</calcChain>
</file>

<file path=xl/sharedStrings.xml><?xml version="1.0" encoding="utf-8"?>
<sst xmlns="http://schemas.openxmlformats.org/spreadsheetml/2006/main" count="49" uniqueCount="42">
  <si>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</si>
  <si>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</si>
  <si>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</si>
  <si>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</si>
  <si>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</si>
  <si>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</si>
  <si>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</si>
  <si>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</si>
  <si>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</si>
  <si>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</si>
  <si>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</si>
  <si>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</si>
  <si>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</si>
  <si>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</si>
  <si>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</si>
  <si>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</si>
  <si>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</si>
  <si>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</si>
  <si>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</si>
  <si>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</si>
  <si>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</si>
  <si>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</si>
  <si>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</si>
  <si>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</si>
  <si>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bool</t>
    <phoneticPr fontId="1" type="noConversion"/>
  </si>
  <si>
    <t>bool</t>
    <phoneticPr fontId="1" type="noConversion"/>
  </si>
  <si>
    <t>InterlockSafe</t>
    <phoneticPr fontId="1" type="noConversion"/>
  </si>
  <si>
    <t>Reserved</t>
    <phoneticPr fontId="1" type="noConversion"/>
  </si>
  <si>
    <t>Bif Offset</t>
    <phoneticPr fontId="1" type="noConversion"/>
  </si>
  <si>
    <t>InterlockDoorClosed</t>
    <phoneticPr fontId="1" type="noConversion"/>
  </si>
  <si>
    <t>Heartbeat</t>
    <phoneticPr fontId="1" type="noConversion"/>
  </si>
  <si>
    <t>ReceiveAble</t>
    <phoneticPr fontId="1" type="noConversion"/>
  </si>
  <si>
    <t>ReceiveStart</t>
    <phoneticPr fontId="1" type="noConversion"/>
  </si>
  <si>
    <t>ReceiveComplete</t>
    <phoneticPr fontId="1" type="noConversion"/>
  </si>
  <si>
    <t>bool</t>
    <phoneticPr fontId="1" type="noConversion"/>
  </si>
  <si>
    <t>EmsSafe</t>
    <phoneticPr fontId="1" type="noConversion"/>
  </si>
  <si>
    <t>bool</t>
    <phoneticPr fontId="1" type="noConversion"/>
  </si>
  <si>
    <t>ReceiveCellP1</t>
    <phoneticPr fontId="1" type="noConversion"/>
  </si>
  <si>
    <t>ReceiveCellP2</t>
    <phoneticPr fontId="1" type="noConversion"/>
  </si>
  <si>
    <t>bool</t>
    <phoneticPr fontId="1" type="noConversion"/>
  </si>
  <si>
    <t>ReceiveVacuumOnP1</t>
    <phoneticPr fontId="1" type="noConversion"/>
  </si>
  <si>
    <t>ReceiveVacuumOnP2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</si>
</sst>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Protection="1">
      <alignment vertical="center"/>
      <protection locked="0"/>
    </xf>
    <xf numFmtId="0" fontId="0" fillId="0" borderId="0" xfId="0" applyNumberFormat="1" applyBorder="1">
      <alignment vertical="center"/>
    </xf>
    <xf numFmtId="0" fontId="3" fillId="0" borderId="0" xfId="1" applyFont="1" applyFill="1" applyProtection="1">
      <alignment vertical="center"/>
      <protection locked="0"/>
    </xf>
  </cellXfs>
  <cellStyles count="2">
    <cellStyle name="표준" xfId="0" builtinId="0"/>
    <cellStyle name="표준 12" xfId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13" totalsRowShown="0">
  <autoFilter ref="A1:I13"/>
  <tableColumns count="9">
    <tableColumn id="2" name="ID"/>
    <tableColumn id="13" name="Byte Index(or Offset)">
      <calculatedColumnFormula>INT(M2/8)</calculatedColumnFormula>
    </tableColumn>
    <tableColumn id="11" name="Bit Index" dataDxfId="1">
      <calculatedColumnFormula>MOD(M2,8)</calculatedColumnFormula>
    </tableColumn>
    <tableColumn id="7" name="Handling Data Type"/>
    <tableColumn id="8" name="Array Length"/>
    <tableColumn id="9" name="Decimal Point"/>
    <tableColumn id="19" name="Label">
      <calculatedColumnFormula>"B"&amp;DEC2HEX(M2,4)</calculatedColumnFormula>
    </tableColumn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K18" sqref="K18"/>
    </sheetView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13" x14ac:dyDescent="0.3">
      <c r="A1" t="s">
        <v>3</v>
      </c>
      <c r="B1" t="s">
        <v>8</v>
      </c>
      <c r="C1" t="s">
        <v>5</v>
      </c>
      <c r="D1" t="s">
        <v>4</v>
      </c>
      <c r="E1" t="s">
        <v>1</v>
      </c>
      <c r="F1" t="s">
        <v>2</v>
      </c>
      <c r="G1" t="s">
        <v>7</v>
      </c>
      <c r="H1" t="s">
        <v>0</v>
      </c>
      <c r="I1" t="s">
        <v>6</v>
      </c>
      <c r="M1" t="s">
        <v>28</v>
      </c>
    </row>
    <row r="2" spans="1:13" x14ac:dyDescent="0.3">
      <c r="A2" s="1" t="s">
        <v>30</v>
      </c>
      <c r="B2" s="1">
        <f t="shared" ref="B2:B13" si="0">INT(M2/8)</f>
        <v>0</v>
      </c>
      <c r="C2" s="1">
        <f t="shared" ref="C2:C13" si="1">MOD(M2,8)</f>
        <v>0</v>
      </c>
      <c r="D2" s="1" t="s">
        <v>24</v>
      </c>
      <c r="E2" s="1"/>
      <c r="F2" s="1"/>
      <c r="G2" s="1" t="str">
        <f>"B"&amp;DEC2HEX(M2,4)</f>
        <v>B0000</v>
      </c>
      <c r="H2" s="1"/>
      <c r="I2" s="2"/>
      <c r="M2">
        <v>0</v>
      </c>
    </row>
    <row r="3" spans="1:13" x14ac:dyDescent="0.3">
      <c r="A3" s="1" t="s">
        <v>31</v>
      </c>
      <c r="B3" s="1">
        <f t="shared" si="0"/>
        <v>0</v>
      </c>
      <c r="C3" s="1">
        <f t="shared" si="1"/>
        <v>1</v>
      </c>
      <c r="D3" s="1" t="s">
        <v>24</v>
      </c>
      <c r="E3" s="1"/>
      <c r="F3" s="1"/>
      <c r="G3" s="1" t="str">
        <f t="shared" ref="G3:G13" si="2">"B"&amp;DEC2HEX(M3,4)</f>
        <v>B0001</v>
      </c>
      <c r="H3" s="1"/>
      <c r="I3" s="3"/>
      <c r="M3">
        <v>1</v>
      </c>
    </row>
    <row r="4" spans="1:13" x14ac:dyDescent="0.3">
      <c r="A4" s="1" t="s">
        <v>32</v>
      </c>
      <c r="B4" s="1">
        <f t="shared" si="0"/>
        <v>0</v>
      </c>
      <c r="C4" s="1">
        <f t="shared" si="1"/>
        <v>2</v>
      </c>
      <c r="D4" s="1" t="s">
        <v>25</v>
      </c>
      <c r="E4" s="1"/>
      <c r="F4" s="1"/>
      <c r="G4" s="1" t="str">
        <f t="shared" si="2"/>
        <v>B0002</v>
      </c>
      <c r="H4" s="1"/>
      <c r="I4" s="3"/>
      <c r="M4">
        <v>2</v>
      </c>
    </row>
    <row r="5" spans="1:13" x14ac:dyDescent="0.3">
      <c r="A5" s="1" t="s">
        <v>33</v>
      </c>
      <c r="B5" s="1">
        <f t="shared" si="0"/>
        <v>0</v>
      </c>
      <c r="C5" s="1">
        <f t="shared" si="1"/>
        <v>3</v>
      </c>
      <c r="D5" s="1" t="s">
        <v>24</v>
      </c>
      <c r="E5" s="1"/>
      <c r="F5" s="1"/>
      <c r="G5" s="1" t="str">
        <f t="shared" si="2"/>
        <v>B0003</v>
      </c>
      <c r="H5" s="1"/>
      <c r="I5" s="3"/>
      <c r="M5">
        <v>3</v>
      </c>
    </row>
    <row r="6" spans="1:13" x14ac:dyDescent="0.3">
      <c r="A6" s="1" t="s">
        <v>40</v>
      </c>
      <c r="B6" s="1">
        <f>INT(M6/8)</f>
        <v>0</v>
      </c>
      <c r="C6" s="4">
        <f>MOD(M6,8)</f>
        <v>4</v>
      </c>
      <c r="D6" s="1" t="s">
        <v>39</v>
      </c>
      <c r="E6" s="1"/>
      <c r="F6" s="1"/>
      <c r="G6" s="1" t="str">
        <f>"B"&amp;DEC2HEX(M6,4)</f>
        <v>B0004</v>
      </c>
      <c r="H6" s="1"/>
      <c r="I6" s="5"/>
      <c r="M6">
        <v>4</v>
      </c>
    </row>
    <row r="7" spans="1:13" x14ac:dyDescent="0.3">
      <c r="A7" s="1" t="s">
        <v>41</v>
      </c>
      <c r="B7" s="1">
        <f>INT(M7/8)</f>
        <v>0</v>
      </c>
      <c r="C7" s="4">
        <f>MOD(M7,8)</f>
        <v>5</v>
      </c>
      <c r="D7" s="1" t="s">
        <v>39</v>
      </c>
      <c r="E7" s="1"/>
      <c r="F7" s="1"/>
      <c r="G7" s="1" t="str">
        <f>"B"&amp;DEC2HEX(M7,4)</f>
        <v>B0005</v>
      </c>
      <c r="H7" s="1"/>
      <c r="I7" s="5"/>
      <c r="M7">
        <v>5</v>
      </c>
    </row>
    <row r="8" spans="1:13" x14ac:dyDescent="0.3">
      <c r="A8" s="1" t="s">
        <v>37</v>
      </c>
      <c r="B8" s="1">
        <f>INT(M8/8)</f>
        <v>0</v>
      </c>
      <c r="C8" s="4">
        <f>MOD(M8,8)</f>
        <v>6</v>
      </c>
      <c r="D8" s="1" t="s">
        <v>34</v>
      </c>
      <c r="E8" s="1"/>
      <c r="F8" s="1"/>
      <c r="G8" s="1" t="str">
        <f>"B"&amp;DEC2HEX(M8,4)</f>
        <v>B0006</v>
      </c>
      <c r="H8" s="1"/>
      <c r="I8" s="5"/>
      <c r="M8">
        <v>6</v>
      </c>
    </row>
    <row r="9" spans="1:13" x14ac:dyDescent="0.3">
      <c r="A9" s="1" t="s">
        <v>38</v>
      </c>
      <c r="B9" s="1">
        <f>INT(M9/8)</f>
        <v>0</v>
      </c>
      <c r="C9" s="4">
        <f>MOD(M9,8)</f>
        <v>7</v>
      </c>
      <c r="D9" s="1" t="s">
        <v>10</v>
      </c>
      <c r="E9" s="1"/>
      <c r="F9" s="1"/>
      <c r="G9" s="1" t="str">
        <f>"B"&amp;DEC2HEX(M9,4)</f>
        <v>B0007</v>
      </c>
      <c r="H9" s="1"/>
      <c r="I9" s="5"/>
      <c r="M9">
        <v>7</v>
      </c>
    </row>
    <row r="10" spans="1:13" x14ac:dyDescent="0.3">
      <c r="A10" s="1" t="s">
        <v>35</v>
      </c>
      <c r="B10" s="1">
        <f>INT(M10/8)</f>
        <v>1</v>
      </c>
      <c r="C10" s="4">
        <f>MOD(M10,8)</f>
        <v>5</v>
      </c>
      <c r="D10" s="1" t="s">
        <v>36</v>
      </c>
      <c r="E10" s="1"/>
      <c r="F10" s="1"/>
      <c r="G10" s="1" t="str">
        <f>"B"&amp;DEC2HEX(M10,4)</f>
        <v>B000D</v>
      </c>
      <c r="H10" s="1"/>
      <c r="I10" s="5"/>
      <c r="M10">
        <v>13</v>
      </c>
    </row>
    <row r="11" spans="1:13" x14ac:dyDescent="0.3">
      <c r="A11" s="1" t="s">
        <v>29</v>
      </c>
      <c r="B11" s="1">
        <f t="shared" si="0"/>
        <v>1</v>
      </c>
      <c r="C11" s="1">
        <f t="shared" si="1"/>
        <v>6</v>
      </c>
      <c r="D11" s="1" t="s">
        <v>25</v>
      </c>
      <c r="E11" s="1"/>
      <c r="F11" s="1"/>
      <c r="G11" s="1" t="str">
        <f t="shared" si="2"/>
        <v>B000E</v>
      </c>
      <c r="H11" s="1"/>
      <c r="I11" s="3"/>
      <c r="M11">
        <v>14</v>
      </c>
    </row>
    <row r="12" spans="1:13" x14ac:dyDescent="0.3">
      <c r="A12" s="1" t="s">
        <v>26</v>
      </c>
      <c r="B12" s="1">
        <f t="shared" si="0"/>
        <v>1</v>
      </c>
      <c r="C12" s="1">
        <f t="shared" si="1"/>
        <v>7</v>
      </c>
      <c r="D12" s="1" t="s">
        <v>24</v>
      </c>
      <c r="E12" s="1"/>
      <c r="F12" s="1"/>
      <c r="G12" s="1" t="str">
        <f t="shared" si="2"/>
        <v>B000F</v>
      </c>
      <c r="H12" s="1"/>
      <c r="I12" s="3"/>
      <c r="M12">
        <v>15</v>
      </c>
    </row>
    <row r="13" spans="1:13" x14ac:dyDescent="0.3">
      <c r="A13" s="1" t="s">
        <v>27</v>
      </c>
      <c r="B13" s="1">
        <f t="shared" si="0"/>
        <v>3</v>
      </c>
      <c r="C13" s="1">
        <f t="shared" si="1"/>
        <v>7</v>
      </c>
      <c r="D13" s="1" t="s">
        <v>24</v>
      </c>
      <c r="E13" s="1"/>
      <c r="F13" s="1"/>
      <c r="G13" s="1" t="str">
        <f t="shared" si="2"/>
        <v>B001F</v>
      </c>
      <c r="H13" s="1"/>
      <c r="I13" s="3"/>
      <c r="M13">
        <v>31</v>
      </c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1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1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13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13">
      <formula1>0</formula1>
      <formula2>7</formula2>
    </dataValidation>
    <dataValidation type="whole" allowBlank="1" showInputMessage="1" showErrorMessage="1" promptTitle="소수점 위치" prompt="(옵션)" sqref="F2:F13">
      <formula1>0</formula1>
      <formula2>10</formula2>
    </dataValidation>
    <dataValidation allowBlank="1" showInputMessage="1" showErrorMessage="1" promptTitle="라벨" prompt="(옵션)" sqref="G2:G13"/>
    <dataValidation allowBlank="1" showInputMessage="1" showErrorMessage="1" promptTitle="코맨트" prompt="(옵션)" sqref="I2:I13"/>
    <dataValidation allowBlank="1" showInputMessage="1" showErrorMessage="1" promptTitle="설명" prompt="(옵션)" sqref="H2:H1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user</cp:lastModifiedBy>
  <dcterms:created xsi:type="dcterms:W3CDTF">2024-03-20T08:08:43Z</dcterms:created>
  <dcterms:modified xsi:type="dcterms:W3CDTF">2025-10-02T02:59:30Z</dcterms:modified>
</cp:coreProperties>
</file>