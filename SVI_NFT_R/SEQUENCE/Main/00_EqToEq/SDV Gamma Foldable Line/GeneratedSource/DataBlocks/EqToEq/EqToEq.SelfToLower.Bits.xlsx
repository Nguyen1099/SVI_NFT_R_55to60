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01. ENC\02_Samsung\08_V34F_NFT\01_Program\SVI_NFT_R_Type3_55-60_nguyen\SVI_NFT_R\SVI_NFT_R\SEQUENCE\Main\00_EqToEq\SDV Gamma Foldable Line\GeneratedSource\DataBlocks\EqToEq\"/>
    </mc:Choice>
  </mc:AlternateContent>
  <xr:revisionPtr revIDLastSave="0" documentId="13_ncr:1_{D1DCDE7C-5F0E-436E-8CE0-9DDC581C23E4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Map" sheetId="1" r:id="rId1"/>
    <sheet name="Defin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8" i="1"/>
  <c r="C9" i="1"/>
  <c r="B7" i="1"/>
  <c r="G7" i="1"/>
  <c r="B6" i="1" l="1"/>
  <c r="C6" i="1"/>
  <c r="G6" i="1"/>
  <c r="B10" i="1" l="1"/>
  <c r="C10" i="1"/>
  <c r="G10" i="1"/>
  <c r="B8" i="1" l="1"/>
  <c r="B9" i="1"/>
  <c r="G8" i="1"/>
  <c r="G9" i="1"/>
  <c r="G3" i="1" l="1"/>
  <c r="G4" i="1"/>
  <c r="G5" i="1"/>
  <c r="G11" i="1"/>
  <c r="G12" i="1"/>
  <c r="G13" i="1"/>
  <c r="G2" i="1"/>
  <c r="C3" i="1" l="1"/>
  <c r="C4" i="1"/>
  <c r="C5" i="1"/>
  <c r="C11" i="1"/>
  <c r="C12" i="1"/>
  <c r="C13" i="1"/>
  <c r="B3" i="1"/>
  <c r="B4" i="1"/>
  <c r="B5" i="1"/>
  <c r="B11" i="1"/>
  <c r="B12" i="1"/>
  <c r="B13" i="1"/>
  <c r="C2" i="1"/>
  <c r="B2" i="1"/>
</calcChain>
</file>

<file path=xl/sharedStrings.xml><?xml version="1.0" encoding="utf-8"?>
<sst xmlns="http://schemas.openxmlformats.org/spreadsheetml/2006/main" count="49" uniqueCount="43">
  <si>
    <t>Description</t>
    <phoneticPr fontId="1" type="noConversion"/>
  </si>
  <si>
    <t>Array Length</t>
    <phoneticPr fontId="1" type="noConversion"/>
  </si>
  <si>
    <t>Decimal Point</t>
    <phoneticPr fontId="1" type="noConversion"/>
  </si>
  <si>
    <t>ID</t>
    <phoneticPr fontId="1" type="noConversion"/>
  </si>
  <si>
    <t>Handling Data Type</t>
    <phoneticPr fontId="1" type="noConversion"/>
  </si>
  <si>
    <t>Bit Index</t>
    <phoneticPr fontId="1" type="noConversion"/>
  </si>
  <si>
    <t>Comment</t>
    <phoneticPr fontId="1" type="noConversion"/>
  </si>
  <si>
    <t>Label</t>
    <phoneticPr fontId="1" type="noConversion"/>
  </si>
  <si>
    <t>Byte Index(or Offset)</t>
    <phoneticPr fontId="1" type="noConversion"/>
  </si>
  <si>
    <t>데이터 타입</t>
    <phoneticPr fontId="1" type="noConversion"/>
  </si>
  <si>
    <t>bool</t>
    <phoneticPr fontId="1" type="noConversion"/>
  </si>
  <si>
    <t>byte</t>
    <phoneticPr fontId="1" type="noConversion"/>
  </si>
  <si>
    <t>sbyte</t>
    <phoneticPr fontId="1" type="noConversion"/>
  </si>
  <si>
    <t>ushort</t>
    <phoneticPr fontId="1" type="noConversion"/>
  </si>
  <si>
    <t>short</t>
    <phoneticPr fontId="1" type="noConversion"/>
  </si>
  <si>
    <t>ushort</t>
    <phoneticPr fontId="1" type="noConversion"/>
  </si>
  <si>
    <t>short</t>
    <phoneticPr fontId="1" type="noConversion"/>
  </si>
  <si>
    <t>uint</t>
    <phoneticPr fontId="1" type="noConversion"/>
  </si>
  <si>
    <t>int</t>
    <phoneticPr fontId="1" type="noConversion"/>
  </si>
  <si>
    <t>ulong</t>
    <phoneticPr fontId="1" type="noConversion"/>
  </si>
  <si>
    <t>long</t>
    <phoneticPr fontId="1" type="noConversion"/>
  </si>
  <si>
    <t>char</t>
    <phoneticPr fontId="1" type="noConversion"/>
  </si>
  <si>
    <t>float</t>
    <phoneticPr fontId="1" type="noConversion"/>
  </si>
  <si>
    <t>double</t>
    <phoneticPr fontId="1" type="noConversion"/>
  </si>
  <si>
    <t>bool</t>
    <phoneticPr fontId="1" type="noConversion"/>
  </si>
  <si>
    <t>bool</t>
    <phoneticPr fontId="1" type="noConversion"/>
  </si>
  <si>
    <t>SendAble</t>
    <phoneticPr fontId="1" type="noConversion"/>
  </si>
  <si>
    <t>SendStart</t>
    <phoneticPr fontId="1" type="noConversion"/>
  </si>
  <si>
    <t>SendComplete</t>
    <phoneticPr fontId="1" type="noConversion"/>
  </si>
  <si>
    <t>InterlockSafe</t>
    <phoneticPr fontId="1" type="noConversion"/>
  </si>
  <si>
    <t>Reserved</t>
    <phoneticPr fontId="1" type="noConversion"/>
  </si>
  <si>
    <t>Bif Offset</t>
    <phoneticPr fontId="1" type="noConversion"/>
  </si>
  <si>
    <t>InterlockDoorClosed</t>
    <phoneticPr fontId="1" type="noConversion"/>
  </si>
  <si>
    <t>Heartbeat</t>
    <phoneticPr fontId="1" type="noConversion"/>
  </si>
  <si>
    <t>bool</t>
    <phoneticPr fontId="1" type="noConversion"/>
  </si>
  <si>
    <t>bool</t>
    <phoneticPr fontId="1" type="noConversion"/>
  </si>
  <si>
    <t>EmsSafe</t>
    <phoneticPr fontId="1" type="noConversion"/>
  </si>
  <si>
    <t>bool</t>
    <phoneticPr fontId="1" type="noConversion"/>
  </si>
  <si>
    <t>SendCellP1</t>
    <phoneticPr fontId="1" type="noConversion"/>
  </si>
  <si>
    <t>SendCellP2</t>
    <phoneticPr fontId="1" type="noConversion"/>
  </si>
  <si>
    <t>bool</t>
    <phoneticPr fontId="1" type="noConversion"/>
  </si>
  <si>
    <t>SendVacuumOffP1</t>
  </si>
  <si>
    <t>SendVacuumOffP2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</si>
</sst>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name val="돋움"/>
      <family val="3"/>
      <charset val="129"/>
    </font>
    <font>
      <sz val="10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Protection="1">
      <alignment vertical="center"/>
      <protection locked="0"/>
    </xf>
  </cellXfs>
  <cellStyles count="2">
    <cellStyle name="Normal" xfId="0" builtinId="0"/>
    <cellStyle name="표준 12" xfId="1" xr:uid="{00000000-0005-0000-0000-000001000000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none">
          <fgColor indexed="64"/>
          <bgColor indexed="65"/>
        </patternFill>
      </fill>
      <protection locked="0" hidden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1_34" displayName="표1_34" ref="A1:I13" totalsRowShown="0">
  <autoFilter ref="A1:I13" xr:uid="{00000000-0009-0000-0100-000003000000}"/>
  <tableColumns count="9">
    <tableColumn id="2" xr3:uid="{00000000-0010-0000-0000-000002000000}" name="ID"/>
    <tableColumn id="13" xr3:uid="{00000000-0010-0000-0000-00000D000000}" name="Byte Index(or Offset)">
      <calculatedColumnFormula>INT(M2/8)</calculatedColumnFormula>
    </tableColumn>
    <tableColumn id="11" xr3:uid="{00000000-0010-0000-0000-00000B000000}" name="Bit Index" dataDxfId="1">
      <calculatedColumnFormula>MOD(M2,8)</calculatedColumnFormula>
    </tableColumn>
    <tableColumn id="7" xr3:uid="{00000000-0010-0000-0000-000007000000}" name="Handling Data Type"/>
    <tableColumn id="8" xr3:uid="{00000000-0010-0000-0000-000008000000}" name="Array Length"/>
    <tableColumn id="9" xr3:uid="{00000000-0010-0000-0000-000009000000}" name="Decimal Point"/>
    <tableColumn id="19" xr3:uid="{00000000-0010-0000-0000-000013000000}" name="Label">
      <calculatedColumnFormula>"B"&amp;DEC2HEX(M2,4)</calculatedColumnFormula>
    </tableColumn>
    <tableColumn id="16" xr3:uid="{00000000-0010-0000-0000-000010000000}" name="Description"/>
    <tableColumn id="17" xr3:uid="{00000000-0010-0000-0000-000011000000}" name="Comment" dataDxfId="0" dataCellStyle="표준 1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표1" displayName="표1" ref="A1:A15" totalsRowShown="0">
  <autoFilter ref="A1:A15" xr:uid="{00000000-0009-0000-0100-000001000000}"/>
  <tableColumns count="1">
    <tableColumn id="1" xr3:uid="{00000000-0010-0000-0100-000001000000}" name="데이터 타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A8" sqref="A8"/>
    </sheetView>
  </sheetViews>
  <sheetFormatPr defaultRowHeight="15"/>
  <cols>
    <col min="1" max="1" width="21.85546875" customWidth="1"/>
    <col min="2" max="2" width="22.28515625" customWidth="1"/>
    <col min="3" max="3" width="11.7109375" bestFit="1" customWidth="1"/>
    <col min="4" max="4" width="22.42578125" customWidth="1"/>
    <col min="5" max="5" width="15.7109375" bestFit="1" customWidth="1"/>
    <col min="6" max="6" width="16.42578125" bestFit="1" customWidth="1"/>
    <col min="7" max="7" width="8.42578125" bestFit="1" customWidth="1"/>
    <col min="8" max="8" width="22.42578125" customWidth="1"/>
    <col min="9" max="9" width="40.140625" bestFit="1" customWidth="1"/>
  </cols>
  <sheetData>
    <row r="1" spans="1:13">
      <c r="A1" t="s">
        <v>3</v>
      </c>
      <c r="B1" t="s">
        <v>8</v>
      </c>
      <c r="C1" t="s">
        <v>5</v>
      </c>
      <c r="D1" t="s">
        <v>4</v>
      </c>
      <c r="E1" t="s">
        <v>1</v>
      </c>
      <c r="F1" t="s">
        <v>2</v>
      </c>
      <c r="G1" t="s">
        <v>7</v>
      </c>
      <c r="H1" t="s">
        <v>0</v>
      </c>
      <c r="I1" t="s">
        <v>6</v>
      </c>
      <c r="M1" t="s">
        <v>31</v>
      </c>
    </row>
    <row r="2" spans="1:13">
      <c r="A2" t="s">
        <v>33</v>
      </c>
      <c r="B2">
        <f t="shared" ref="B2:B13" si="0">INT(M2/8)</f>
        <v>0</v>
      </c>
      <c r="C2">
        <f t="shared" ref="C2:C13" si="1">MOD(M2,8)</f>
        <v>0</v>
      </c>
      <c r="D2" t="s">
        <v>24</v>
      </c>
      <c r="G2" t="str">
        <f>"B"&amp;DEC2HEX(M2,4)</f>
        <v>B0000</v>
      </c>
      <c r="I2" s="1"/>
      <c r="M2">
        <v>0</v>
      </c>
    </row>
    <row r="3" spans="1:13">
      <c r="A3" t="s">
        <v>26</v>
      </c>
      <c r="B3">
        <f t="shared" si="0"/>
        <v>0</v>
      </c>
      <c r="C3">
        <f t="shared" si="1"/>
        <v>1</v>
      </c>
      <c r="D3" t="s">
        <v>24</v>
      </c>
      <c r="G3" t="str">
        <f t="shared" ref="G3:G13" si="2">"B"&amp;DEC2HEX(M3,4)</f>
        <v>B0001</v>
      </c>
      <c r="I3" s="2"/>
      <c r="M3">
        <v>1</v>
      </c>
    </row>
    <row r="4" spans="1:13">
      <c r="A4" t="s">
        <v>27</v>
      </c>
      <c r="B4">
        <f t="shared" si="0"/>
        <v>0</v>
      </c>
      <c r="C4">
        <f t="shared" si="1"/>
        <v>2</v>
      </c>
      <c r="D4" t="s">
        <v>25</v>
      </c>
      <c r="G4" t="str">
        <f t="shared" si="2"/>
        <v>B0002</v>
      </c>
      <c r="I4" s="2"/>
      <c r="M4">
        <v>2</v>
      </c>
    </row>
    <row r="5" spans="1:13">
      <c r="A5" t="s">
        <v>28</v>
      </c>
      <c r="B5">
        <f t="shared" si="0"/>
        <v>0</v>
      </c>
      <c r="C5">
        <f t="shared" si="1"/>
        <v>3</v>
      </c>
      <c r="D5" t="s">
        <v>24</v>
      </c>
      <c r="G5" t="str">
        <f t="shared" si="2"/>
        <v>B0003</v>
      </c>
      <c r="I5" s="2"/>
      <c r="M5">
        <v>3</v>
      </c>
    </row>
    <row r="6" spans="1:13">
      <c r="A6" t="s">
        <v>41</v>
      </c>
      <c r="B6">
        <f>INT(M6/8)</f>
        <v>0</v>
      </c>
      <c r="C6">
        <f>MOD(M6,8)</f>
        <v>4</v>
      </c>
      <c r="D6" t="s">
        <v>40</v>
      </c>
      <c r="G6" t="str">
        <f>"B"&amp;DEC2HEX(M6,4)</f>
        <v>B0004</v>
      </c>
      <c r="I6" s="2"/>
      <c r="M6">
        <v>4</v>
      </c>
    </row>
    <row r="7" spans="1:13">
      <c r="A7" t="s">
        <v>42</v>
      </c>
      <c r="B7">
        <f>INT(M7/8)</f>
        <v>0</v>
      </c>
      <c r="C7">
        <f>MOD(M7,8)</f>
        <v>5</v>
      </c>
      <c r="D7" t="s">
        <v>24</v>
      </c>
      <c r="G7" t="str">
        <f>"B"&amp;DEC2HEX(M7,4)</f>
        <v>B0005</v>
      </c>
      <c r="I7" s="2"/>
      <c r="M7">
        <v>5</v>
      </c>
    </row>
    <row r="8" spans="1:13">
      <c r="A8" t="s">
        <v>38</v>
      </c>
      <c r="B8">
        <f t="shared" ref="B8:B9" si="3">INT(M8/8)</f>
        <v>0</v>
      </c>
      <c r="C8">
        <f t="shared" ref="C8:C9" si="4">MOD(M8,8)</f>
        <v>6</v>
      </c>
      <c r="D8" t="s">
        <v>34</v>
      </c>
      <c r="G8" t="str">
        <f t="shared" ref="G8:G9" si="5">"B"&amp;DEC2HEX(M8,4)</f>
        <v>B0006</v>
      </c>
      <c r="I8" s="2"/>
      <c r="M8">
        <v>6</v>
      </c>
    </row>
    <row r="9" spans="1:13">
      <c r="A9" t="s">
        <v>39</v>
      </c>
      <c r="B9">
        <f t="shared" si="3"/>
        <v>0</v>
      </c>
      <c r="C9">
        <f t="shared" si="4"/>
        <v>7</v>
      </c>
      <c r="D9" t="s">
        <v>35</v>
      </c>
      <c r="G9" t="str">
        <f t="shared" si="5"/>
        <v>B0007</v>
      </c>
      <c r="I9" s="2"/>
      <c r="M9">
        <v>7</v>
      </c>
    </row>
    <row r="10" spans="1:13">
      <c r="A10" t="s">
        <v>36</v>
      </c>
      <c r="B10">
        <f>INT(M10/8)</f>
        <v>1</v>
      </c>
      <c r="C10">
        <f>MOD(M10,8)</f>
        <v>5</v>
      </c>
      <c r="D10" t="s">
        <v>37</v>
      </c>
      <c r="G10" t="str">
        <f>"B"&amp;DEC2HEX(M10,4)</f>
        <v>B000D</v>
      </c>
      <c r="I10" s="2"/>
      <c r="M10">
        <v>13</v>
      </c>
    </row>
    <row r="11" spans="1:13">
      <c r="A11" t="s">
        <v>32</v>
      </c>
      <c r="B11">
        <f t="shared" si="0"/>
        <v>1</v>
      </c>
      <c r="C11">
        <f t="shared" si="1"/>
        <v>6</v>
      </c>
      <c r="D11" t="s">
        <v>25</v>
      </c>
      <c r="G11" t="str">
        <f t="shared" si="2"/>
        <v>B000E</v>
      </c>
      <c r="I11" s="2"/>
      <c r="M11">
        <v>14</v>
      </c>
    </row>
    <row r="12" spans="1:13">
      <c r="A12" t="s">
        <v>29</v>
      </c>
      <c r="B12">
        <f t="shared" si="0"/>
        <v>1</v>
      </c>
      <c r="C12">
        <f t="shared" si="1"/>
        <v>7</v>
      </c>
      <c r="D12" t="s">
        <v>24</v>
      </c>
      <c r="G12" t="str">
        <f t="shared" si="2"/>
        <v>B000F</v>
      </c>
      <c r="I12" s="2"/>
      <c r="M12">
        <v>15</v>
      </c>
    </row>
    <row r="13" spans="1:13">
      <c r="A13" t="s">
        <v>30</v>
      </c>
      <c r="B13">
        <f t="shared" si="0"/>
        <v>3</v>
      </c>
      <c r="C13">
        <f t="shared" si="1"/>
        <v>7</v>
      </c>
      <c r="D13" t="s">
        <v>24</v>
      </c>
      <c r="G13" t="str">
        <f t="shared" si="2"/>
        <v>B001F</v>
      </c>
      <c r="I13" s="2"/>
      <c r="M13">
        <v>31</v>
      </c>
    </row>
  </sheetData>
  <dataConsolidate/>
  <phoneticPr fontId="1" type="noConversion"/>
  <dataValidations count="8">
    <dataValidation type="whole" allowBlank="1" showInputMessage="1" showErrorMessage="1" promptTitle="배열의 길이" prompt="  해당 파라미터가 공백이면 단일 데이터로 생성하고, 정수 값이 입력되면 배열 데이터로 생성합니다._x000a__x000a_유효 데이터: _x000a_  - 공백 (단일 타입)_x000a_  - 1 ~ 2147483647 (배열 타입)" sqref="E2:E13" xr:uid="{00000000-0002-0000-0000-000000000000}">
      <formula1>1</formula1>
      <formula2>2147483647</formula2>
    </dataValidation>
    <dataValidation type="textLength" imeMode="halfAlpha" showInputMessage="1" showErrorMessage="1" promptTitle="ID (변수명)" prompt="데이터의 고유한 이름을 설정합니다._x000a__x000a_※ID는 코드 변환시 변수명으로 사용되기 때문에 C#문법에서 허용하지 않는 작명 방식은 지원하지 않음" sqref="A2:A13" xr:uid="{00000000-0002-0000-0000-000001000000}">
      <formula1>1</formula1>
      <formula2>256</formula2>
    </dataValidation>
    <dataValidation type="custom" showInputMessage="1" showErrorMessage="1" promptTitle="바이트 인덱스(or 오프셋)" prompt="  해당 데이터의 위치를 나타내는 정보를 설정합니다._x000a__x000a_유효 데이터:_x000a_- 'auto'_x000a_- 0 ~ 2147483647_x000a__x000a_※ 'auto'란?_x000a_이전 데이터가 끝난 다음 위치를 자동으로 계산해서 넣어주는 기능" sqref="B2:B13" xr:uid="{00000000-0002-0000-0000-000002000000}">
      <formula1>IF(ISNUMBER(B2), AND(B2 &gt;= 0, B2 &lt; 2147483647), AND(LOWER(B2) = "auto", NOT(ISBLANK(B2))))</formula1>
    </dataValidation>
    <dataValidation type="whole" allowBlank="1" showInputMessage="1" showErrorMessage="1" promptTitle="비트 인덱스" prompt="  해당 데이터의 위치를 나타내는 정보를 설정합니다._x000a__x000a_유효 데이터:_x000a_- 공백 (bool형이 선택되지 않았을 때)_x000a_- 0 ~ 7 (bool형이 선택됐을 때)_x000a__x000a_※'Bit Index'는 'Handling Data Tpye'이 'bool'로 설정됐을 때에만 적용됩니다." sqref="C2:C13" xr:uid="{00000000-0002-0000-0000-000003000000}">
      <formula1>0</formula1>
      <formula2>7</formula2>
    </dataValidation>
    <dataValidation type="whole" allowBlank="1" showInputMessage="1" showErrorMessage="1" promptTitle="소수점 위치" prompt="(옵션)" sqref="F2:F13" xr:uid="{00000000-0002-0000-0000-000004000000}">
      <formula1>0</formula1>
      <formula2>10</formula2>
    </dataValidation>
    <dataValidation allowBlank="1" showInputMessage="1" showErrorMessage="1" promptTitle="라벨" prompt="(옵션)" sqref="G2:G13" xr:uid="{00000000-0002-0000-0000-000005000000}"/>
    <dataValidation allowBlank="1" showInputMessage="1" showErrorMessage="1" promptTitle="코맨트" prompt="(옵션)" sqref="I2:I13" xr:uid="{00000000-0002-0000-0000-000006000000}"/>
    <dataValidation allowBlank="1" showInputMessage="1" showErrorMessage="1" promptTitle="설명" prompt="(옵션)" sqref="H2:H13" xr:uid="{00000000-0002-0000-0000-000007000000}"/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imeMode="halfAlpha" showInputMessage="1" promptTitle="데이터 타입" prompt="  해당 데이터의 타입을 설정합니다._x000a__x000a_데이터 범위:_x000a_- 사용자 정의 데이터 블록 타입_x000a_- 기본 데이터 타입(bool, byte, sbyte, ushort, short, uint, int, ulong, long, float, double, char)_x000a_" xr:uid="{00000000-0002-0000-0000-000008000000}">
          <x14:formula1>
            <xm:f>Define!$A$2:$A$15</xm:f>
          </x14:formula1>
          <xm:sqref>D2:D13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A15"/>
  <sheetViews>
    <sheetView workbookViewId="0">
      <selection activeCell="A2" sqref="A2:A15"/>
    </sheetView>
  </sheetViews>
  <sheetFormatPr defaultRowHeight="15"/>
  <cols>
    <col min="1" max="1" width="12.7109375" customWidth="1"/>
  </cols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15</v>
      </c>
    </row>
    <row r="8" spans="1:1">
      <c r="A8" t="s">
        <v>16</v>
      </c>
    </row>
    <row r="9" spans="1:1">
      <c r="A9" t="s">
        <v>17</v>
      </c>
    </row>
    <row r="10" spans="1:1">
      <c r="A10" t="s">
        <v>18</v>
      </c>
    </row>
    <row r="11" spans="1:1">
      <c r="A11" t="s">
        <v>19</v>
      </c>
    </row>
    <row r="12" spans="1:1">
      <c r="A12" t="s">
        <v>20</v>
      </c>
    </row>
    <row r="13" spans="1:1">
      <c r="A13" t="s">
        <v>22</v>
      </c>
    </row>
    <row r="14" spans="1:1">
      <c r="A14" t="s">
        <v>23</v>
      </c>
    </row>
    <row r="15" spans="1:1">
      <c r="A15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</vt:lpstr>
      <vt:lpstr>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jyjeong</dc:creator>
  <cp:lastModifiedBy>Nguyen Tran</cp:lastModifiedBy>
  <dcterms:created xsi:type="dcterms:W3CDTF">2024-03-20T08:08:43Z</dcterms:created>
  <dcterms:modified xsi:type="dcterms:W3CDTF">2026-07-09T15:49:04Z</dcterms:modified>
</cp:coreProperties>
</file>